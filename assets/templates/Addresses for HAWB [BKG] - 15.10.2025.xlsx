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2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einmon/Documents/Air_Booking_Automation/"/>
    </mc:Choice>
  </mc:AlternateContent>
  <xr:revisionPtr revIDLastSave="0" documentId="13_ncr:1_{FA376CF6-37C8-564B-B652-B57E00B88962}" xr6:coauthVersionLast="47" xr6:coauthVersionMax="47" xr10:uidLastSave="{00000000-0000-0000-0000-000000000000}"/>
  <bookViews>
    <workbookView xWindow="7340" yWindow="5320" windowWidth="20740" windowHeight="11160" activeTab="2" xr2:uid="{00000000-000D-0000-FFFF-FFFF00000000}"/>
  </bookViews>
  <sheets>
    <sheet name="Sheet1" sheetId="3" state="hidden" r:id="rId1"/>
    <sheet name="Sheet2" sheetId="4" state="hidden" r:id="rId2"/>
    <sheet name="HAWB" sheetId="8" r:id="rId3"/>
    <sheet name="Revision History" sheetId="9" r:id="rId4"/>
  </sheets>
  <calcPr calcId="191029"/>
  <customWorkbookViews>
    <customWorkbookView name="Detjens Julia (SELOG) - Personal View" guid="{9DF0F1AC-29D6-4775-BB92-5A0A848E73BE}" mergeInterval="0" personalView="1" maximized="1" windowWidth="1916" windowHeight="855" activeSheetId="1"/>
    <customWorkbookView name="Dronberger-Muschick Peter (DETRANS) - Personal View" guid="{4DB146E9-9F11-444C-9829-D0B438956583}" mergeInterval="0" personalView="1" maximized="1" windowWidth="1676" windowHeight="759" activeSheetId="1"/>
    <customWorkbookView name="Gupta Sumit (INDC) - Personal View" guid="{5FCBCF93-3DB4-492D-B310-ACD4832E7520}" mergeInterval="0" personalView="1" maximized="1" windowWidth="1916" windowHeight="807" activeSheetId="1"/>
    <customWorkbookView name="Heller Maria (DETRANS) - Personal View" guid="{866606FD-F047-48D4-9923-C6F218BECFCE}" mergeInterval="0" personalView="1" maximized="1" windowWidth="1920" windowHeight="855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8" i="8" l="1"/>
  <c r="F84" i="8"/>
  <c r="F75" i="8"/>
  <c r="F54" i="8"/>
  <c r="F53" i="8"/>
  <c r="F18" i="8"/>
  <c r="F17" i="8"/>
  <c r="F16" i="8"/>
  <c r="F15" i="8"/>
  <c r="F13" i="8"/>
  <c r="F8" i="8"/>
  <c r="F7" i="8"/>
  <c r="F6" i="8"/>
  <c r="F5" i="8"/>
  <c r="F4" i="8"/>
  <c r="F3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Detjens Julia (Central Logistics: Transport &amp; Trade Development)</author>
  </authors>
  <commentList>
    <comment ref="C33" authorId="0" shapeId="0" xr:uid="{58818C1B-5530-4F67-B5D2-D3E466A32050}">
      <text>
        <r>
          <rPr>
            <sz val="10"/>
            <rFont val="Arial"/>
            <family val="2"/>
          </rPr>
          <t xml:space="preserve">GBD001 + DED002 will fade out
</t>
        </r>
      </text>
    </comment>
    <comment ref="C34" authorId="0" shapeId="0" xr:uid="{1B1DC003-BDE0-4D98-990C-6710F74A31E9}">
      <text>
        <r>
          <rPr>
            <sz val="10"/>
            <rFont val="Arial"/>
            <family val="2"/>
          </rPr>
          <t xml:space="preserve">GBD001 + DED002 will fade out
</t>
        </r>
      </text>
    </comment>
    <comment ref="C35" authorId="0" shapeId="0" xr:uid="{49FC435D-7BD6-4EAD-AB83-5ECE52389E69}">
      <text>
        <r>
          <rPr>
            <sz val="10"/>
            <rFont val="Arial"/>
            <family val="2"/>
          </rPr>
          <t xml:space="preserve">GBD001 + DED002 will fade out
</t>
        </r>
      </text>
    </comment>
  </commentList>
</comments>
</file>

<file path=xl/sharedStrings.xml><?xml version="1.0" encoding="utf-8"?>
<sst xmlns="http://schemas.openxmlformats.org/spreadsheetml/2006/main" count="1869" uniqueCount="848">
  <si>
    <t>Destination Country</t>
  </si>
  <si>
    <t>Planning Market Code</t>
  </si>
  <si>
    <t>Final Receiver</t>
  </si>
  <si>
    <t>Planning Market Name</t>
  </si>
  <si>
    <t>Airport</t>
  </si>
  <si>
    <t xml:space="preserve">HAWB Consignee </t>
  </si>
  <si>
    <t>Notify to</t>
  </si>
  <si>
    <t>VAT / GST / Company registration</t>
  </si>
  <si>
    <t>Type of company code</t>
  </si>
  <si>
    <t>Australia</t>
  </si>
  <si>
    <t>AU</t>
  </si>
  <si>
    <t>AUW118 (AU)</t>
  </si>
  <si>
    <t>H&amp;M store Australia</t>
  </si>
  <si>
    <t>Sydney</t>
  </si>
  <si>
    <t>H&amp;M Hennes and Mauritz Pty Ltd 
Level 13, 55 Market Street 
Sydney NSW 2000 
AUSTRALIA
DLIMPEX-AU@hm.com</t>
  </si>
  <si>
    <t>Röhlig Australia Pty. Ltd. 
Moorebank Business Park, Unit 1, 2 Secombe Place , 
Moorebank NSW- 2170, 
Australia
Tel.: +61 2 87118866
lara.pereiradasilva@rohlig.com + jordan.faure@rohlig.com</t>
  </si>
  <si>
    <t>ABN</t>
  </si>
  <si>
    <t>XA</t>
  </si>
  <si>
    <t>AUW130 (XA)</t>
  </si>
  <si>
    <t>COS store Australia</t>
  </si>
  <si>
    <t>see AU</t>
  </si>
  <si>
    <t>OO</t>
  </si>
  <si>
    <t>AUW270 (OO)</t>
  </si>
  <si>
    <t>H&amp;M online Australia</t>
  </si>
  <si>
    <t>XD</t>
  </si>
  <si>
    <t>AUW312 (XD)</t>
  </si>
  <si>
    <t>COS online Australia</t>
  </si>
  <si>
    <t>FA</t>
  </si>
  <si>
    <t>AUW445 (FA)</t>
  </si>
  <si>
    <t xml:space="preserve">COS Wholesale Australia </t>
  </si>
  <si>
    <t>FB</t>
  </si>
  <si>
    <t>AUW446 (FB)</t>
  </si>
  <si>
    <t xml:space="preserve">&amp;Other Stories Wholesale Australia </t>
  </si>
  <si>
    <t>IF</t>
  </si>
  <si>
    <t>AUW487 (IF)</t>
  </si>
  <si>
    <t>ARKET wholesale Iconic Australia</t>
  </si>
  <si>
    <t>Belgium</t>
  </si>
  <si>
    <t>BE</t>
  </si>
  <si>
    <t>BEW014 (BE)</t>
  </si>
  <si>
    <t>H&amp;M store Belgium (AW, Ghlin)</t>
  </si>
  <si>
    <t>Brussel</t>
  </si>
  <si>
    <t>H &amp; M Hennes &amp; Mauritz GBC AB
c/o H&amp;M Hennes &amp; Mauritz S.R.L
Rue Rene' Wattiez. 8
Ghlin 7011
Belgium
DLIMPEX-BE@hm.com
EORI: SE5560701715</t>
  </si>
  <si>
    <t>EXPEDITORS 
Brussels Office
Vliegveld 752
1820 Steenokkerzeel
Belgium</t>
  </si>
  <si>
    <t>BE0890978157</t>
  </si>
  <si>
    <t>European VAT number</t>
  </si>
  <si>
    <t>BEW015 (BE)</t>
  </si>
  <si>
    <t>H&amp;M store Belgium (RW, Ghlin)</t>
  </si>
  <si>
    <t>see BE</t>
  </si>
  <si>
    <t>ITW018 (BE)</t>
  </si>
  <si>
    <t>H&amp;M store Belgium (RW, Casale)</t>
  </si>
  <si>
    <t>Brazil</t>
  </si>
  <si>
    <t>BR</t>
  </si>
  <si>
    <t>BRW498 (BR)</t>
  </si>
  <si>
    <t>H&amp;M store Brazil</t>
  </si>
  <si>
    <t>Sao Paulo</t>
  </si>
  <si>
    <t>H&amp;M Hennes &amp; Mauritz Brazil Importacoes Ltda
Rod Fernao Dias, S/N, KM 936
Pessegueiros, Extrema, MG – CEP 37.646-410
Brazil
CPF/CNPJ 20.890.900/0003-20
DLIMPEX-BR@hm.com</t>
  </si>
  <si>
    <t>Excel Santos Logistica Ltda
Praça dos Andradas, 12 - 7th floor
Centro, Santos - SP
Brazil
hm@excelsantos.com.br</t>
  </si>
  <si>
    <t>20.890.900/0003-20</t>
  </si>
  <si>
    <t>CNPJ</t>
  </si>
  <si>
    <t>EN</t>
  </si>
  <si>
    <t>BRW500 (EN)</t>
  </si>
  <si>
    <t>H&amp;M online Brazil</t>
  </si>
  <si>
    <t>see BR</t>
  </si>
  <si>
    <t>Canada</t>
  </si>
  <si>
    <t>CA</t>
  </si>
  <si>
    <t>CAW387 (CA)</t>
  </si>
  <si>
    <t>H&amp;M store Canada (AW, East Coast, Ajax)</t>
  </si>
  <si>
    <t>Toronto</t>
  </si>
  <si>
    <t>H&amp;M Hennes &amp; Mauritz Inc.
210 Kerrison Drive East
Ajax ON L1Z 0R8
Canada</t>
  </si>
  <si>
    <t>Carson International
208A - 1461 Johnston Road
White Rock, BC V4B 3Z4
Canada
hmteam@carson.ca</t>
  </si>
  <si>
    <t>GST 88763 4400RT0001</t>
  </si>
  <si>
    <t>Corporation number</t>
  </si>
  <si>
    <t>XC</t>
  </si>
  <si>
    <t>CAW390 (XC)</t>
  </si>
  <si>
    <t>COS store Canada</t>
  </si>
  <si>
    <t>see CA</t>
  </si>
  <si>
    <t>DR</t>
  </si>
  <si>
    <t>CAW388 (DR)</t>
  </si>
  <si>
    <t>H&amp;M online Canada</t>
  </si>
  <si>
    <t>DQ</t>
  </si>
  <si>
    <t>CAW391 (DQ)</t>
  </si>
  <si>
    <t>COS online Canada</t>
  </si>
  <si>
    <t>FF</t>
  </si>
  <si>
    <t>CAW472 (FF)</t>
  </si>
  <si>
    <t>ARKET Online Canada</t>
  </si>
  <si>
    <t>Chile</t>
  </si>
  <si>
    <t>CL</t>
  </si>
  <si>
    <t>CLW093 (CL)</t>
  </si>
  <si>
    <t>H&amp;M store Chile</t>
  </si>
  <si>
    <t xml:space="preserve">Santiago de Chile </t>
  </si>
  <si>
    <t>H&amp;M Hennes &amp; Mauritz SpA
c/o Hellmann Worldwide Logistics Ltda.
Av. Presidente Riesco 5335 of. 1401
Las Condes, Santiago
Chile
DLIMPEX-CL@hm.com</t>
  </si>
  <si>
    <t>Agencia de Aduanas Browne Ltda
Huerfanos 812 Piso 5 - Santiago
Chile
Contacts: Camila Lizama + Cesar Cabrera  
e-mail: GrupoHM@browne.cl</t>
  </si>
  <si>
    <t>76218187-8</t>
  </si>
  <si>
    <t>RUT</t>
  </si>
  <si>
    <t>China</t>
  </si>
  <si>
    <t>CN</t>
  </si>
  <si>
    <t>CNW051 (CN)</t>
  </si>
  <si>
    <t>H&amp;M store China</t>
  </si>
  <si>
    <t>Shanghai</t>
  </si>
  <si>
    <t>H &amp; M Hennes &amp; Mauritz (Shanghai) Commercial Co. LTD
Room 1801-1812, 18F; Room 1901-1912, 19F
Central Plaza, No.227 North Huang Pi Road Huang Pu District
Shanghai
Peoples Republic of China
DLIMPEX-CN3@hm.com</t>
  </si>
  <si>
    <t>DSV Air&amp;Sea Co.,Ltd.
8F&amp;9F&amp;15F, Raffles City Changning Office Tower 3, No.1193 Changning Road Shanghai
ATTN : Jacky.Zhou
TEL:+86(21)33259680
Mail: Jacky.Zhou@cn.dsv.com
2nd Notify:
H &amp; M Hennes &amp; Mauritz (Shanghai) Commercial Co. LTD
Room 1801-1812, 18F; Room 1901-1912, 19F
Central Plaza, No.227 North Huang Pi Road Huang Pu District Shanghai
Peoples Republic of China
ATTN: Bill.Zhou
TEL : +86 (21) 23305313/14</t>
  </si>
  <si>
    <t>91310000794519276H</t>
  </si>
  <si>
    <t>USCI</t>
  </si>
  <si>
    <t>CX</t>
  </si>
  <si>
    <t>CNW088 (CX)</t>
  </si>
  <si>
    <t>COS store China</t>
  </si>
  <si>
    <t>see CN</t>
  </si>
  <si>
    <t>OB</t>
  </si>
  <si>
    <t>CNW148 (OB)</t>
  </si>
  <si>
    <t>H&amp;M online China</t>
  </si>
  <si>
    <t>XB</t>
  </si>
  <si>
    <t>CNW260 (XB)</t>
  </si>
  <si>
    <t>COS online China</t>
  </si>
  <si>
    <t>ZB</t>
  </si>
  <si>
    <t>CNW293 (ZB)</t>
  </si>
  <si>
    <t>&amp;Other Stories Online China</t>
  </si>
  <si>
    <t>AJ</t>
  </si>
  <si>
    <t>CNW326 (AJ)</t>
  </si>
  <si>
    <t>ARKET Online China</t>
  </si>
  <si>
    <t>BC</t>
  </si>
  <si>
    <t>CNW358 (BC)</t>
  </si>
  <si>
    <t>ARKET store China</t>
  </si>
  <si>
    <t>ZC</t>
  </si>
  <si>
    <t>CNW320 (ZC)</t>
  </si>
  <si>
    <t>&amp;Other Stories store China</t>
  </si>
  <si>
    <t>Colombia</t>
  </si>
  <si>
    <t>CO</t>
  </si>
  <si>
    <t>COW202 (CO)</t>
  </si>
  <si>
    <t xml:space="preserve">H&amp;M store Colombia
</t>
  </si>
  <si>
    <t>Bogota</t>
  </si>
  <si>
    <r>
      <t xml:space="preserve">Please use following for CG &amp; NCG that contains footwear, textiles, garment, aluminium profiles, electric equipments, hangsag, carpets, shopping bags &amp; scanners:
From EU, CN, KH, ID, MA, TR + TREU 
</t>
    </r>
    <r>
      <rPr>
        <sz val="10"/>
        <color theme="4" tint="-0.249977111117893"/>
        <rFont val="Calibri"/>
        <family val="2"/>
        <scheme val="minor"/>
      </rPr>
      <t xml:space="preserve">Geodis  Colombia LTDA
NIT 830.055.467-3
Resolucion 230, Codigo 3707
Av calle 26 No 69b 53 oficina 901
Tel: 6020100  - Bogota, Colombia
Attn. Lizeth Toro / Angela Torres
hmgroup.ff.co@geodis.com
</t>
    </r>
    <r>
      <rPr>
        <b/>
        <sz val="10"/>
        <color theme="4" tint="-0.249977111117893"/>
        <rFont val="Calibri"/>
        <family val="2"/>
        <scheme val="minor"/>
      </rPr>
      <t xml:space="preserve">
from BD, MM, VN, IN, GT, MX + TRAS:
</t>
    </r>
    <r>
      <rPr>
        <sz val="10"/>
        <color theme="4" tint="-0.249977111117893"/>
        <rFont val="Calibri"/>
        <family val="2"/>
        <scheme val="minor"/>
      </rPr>
      <t xml:space="preserve">Sunrise Cargo S.A.S
NIT 860.040.585-8
Calle 46 A No. 82-54
Tel: 7426262 - Bogota, Colombia
hmgroup@sunrisecargo.com
</t>
    </r>
    <r>
      <rPr>
        <b/>
        <sz val="10"/>
        <color theme="4" tint="-0.249977111117893"/>
        <rFont val="Calibri"/>
        <family val="2"/>
        <scheme val="minor"/>
      </rPr>
      <t xml:space="preserve">
Please use following for NCG´s Except footwear, textiles, garment, aluminium profiles, electric equipments, hangsag, carpets, shopping bags &amp; scanners:
</t>
    </r>
    <r>
      <rPr>
        <sz val="10"/>
        <color theme="4" tint="-0.249977111117893"/>
        <rFont val="Calibri"/>
        <family val="2"/>
        <scheme val="minor"/>
      </rPr>
      <t>Geodis  Colombia LTDA
NIT 830.055.467-3
Resolucion 230, Codigo 3707
Av calle 26 No 69b 53 oficina 901
Tel: 6020100  - Bogota, Colombia
Attn. Lizeth Toro / Angela Torres
hmgroup.ff.co@geodis.com</t>
    </r>
  </si>
  <si>
    <t>900.924.527-1</t>
  </si>
  <si>
    <t>NIT</t>
  </si>
  <si>
    <t>Croatia</t>
  </si>
  <si>
    <t>HR</t>
  </si>
  <si>
    <t>HRW061 (HR)</t>
  </si>
  <si>
    <t>H&amp;M store Croatia</t>
  </si>
  <si>
    <t>Zagreb</t>
  </si>
  <si>
    <t>H &amp; M Hennes &amp; Mauritz GBC AB
c/o H&amp;M Hennes &amp; Mauritz d.o.o.     
Ilica 1A       
10 000 Zagreb Croatia
DLIMPEX-HR@hm.com
EORI: SE5560701715</t>
  </si>
  <si>
    <t>Milšped d.o.o.
Jankomir 25
10 000 Zagreb, Croatia
Contact: Danijel Novosel
danijel.novosel@milsped.com
Tel: +385 91 3744 016</t>
  </si>
  <si>
    <t>OIB</t>
  </si>
  <si>
    <t>Ecuador</t>
  </si>
  <si>
    <t>EC</t>
  </si>
  <si>
    <t>ECW398 (EC)</t>
  </si>
  <si>
    <t xml:space="preserve">H&amp;M store Ecuador </t>
  </si>
  <si>
    <t>Quito</t>
  </si>
  <si>
    <t>Maersk Logistics SA
Av Las Monjas  Edificio Berlín, Bloque B
ZIP CODE 090507
Guayaquil, Ecuador
camila.r@Lns.maersk.com
DLIMPEX-EC@hm.com
Phone number: +593 95 887 9653</t>
  </si>
  <si>
    <t xml:space="preserve">
1793145906001</t>
  </si>
  <si>
    <t xml:space="preserve">RUC Number </t>
  </si>
  <si>
    <t>Germany</t>
  </si>
  <si>
    <t>DE</t>
  </si>
  <si>
    <t>DEW003 (DE)</t>
  </si>
  <si>
    <t>H&amp;M store Central Europe (AW, Hamburg)</t>
  </si>
  <si>
    <t xml:space="preserve">Hamburg </t>
  </si>
  <si>
    <t>H &amp; M Hennes &amp; Mauritz GBC AB
c/o H&amp;M Hennes &amp; Mauritz Logistik AB &amp; Co. KG
Rungedamm 38
21035 Hamburg
Germany
DETransDoc@hm.com
EORI: SE5560701715</t>
  </si>
  <si>
    <t>H &amp; M Hennes &amp; Mauritz GBC AB
c/o H&amp;M Hennes &amp; Mauritz Logistik AB &amp; Co. KG
Rungedamm 38
21035 Hamburg
Germany
DETransDoc@hm.com</t>
  </si>
  <si>
    <t>DE254073650</t>
  </si>
  <si>
    <t>DEW004 (DE)</t>
  </si>
  <si>
    <t>H&amp;M store Central Europe (RW, Hamburg)</t>
  </si>
  <si>
    <t>see DE / DEW003</t>
  </si>
  <si>
    <t>WA</t>
  </si>
  <si>
    <t>GBD001 (WA)
DED002 (WA)
GBW553 (WA)
DEW481 (WA)</t>
  </si>
  <si>
    <t>&amp;Other Stories wholesale Asos</t>
  </si>
  <si>
    <t>WW</t>
  </si>
  <si>
    <t>GBD001 (WW)
DED002 (WW)
GBW554 (WW)
DEW482 (WW)</t>
  </si>
  <si>
    <t>Weekday Wholesale Europe Asos</t>
  </si>
  <si>
    <t>FT</t>
  </si>
  <si>
    <t>GBD001 (FT)
DED002 (FT)
GBW552 (FT)
DEW468 (FT)</t>
  </si>
  <si>
    <t>ARKET Wholesale Asos</t>
  </si>
  <si>
    <t>WZ</t>
  </si>
  <si>
    <t xml:space="preserve">DEW236 (WZ) </t>
  </si>
  <si>
    <t>Weekday Wholesale Zalando</t>
  </si>
  <si>
    <t>CT</t>
  </si>
  <si>
    <t>DEW346 (CT)</t>
  </si>
  <si>
    <t>ARKET Wholesale Zalando</t>
  </si>
  <si>
    <t>DD</t>
  </si>
  <si>
    <t>DEW372 (DD)</t>
  </si>
  <si>
    <t xml:space="preserve">Weekday Wholesale About You </t>
  </si>
  <si>
    <t>FY</t>
  </si>
  <si>
    <t>DEW517 (FY)</t>
  </si>
  <si>
    <t>&amp;Other Stories Wholesale About You</t>
  </si>
  <si>
    <t>EL</t>
  </si>
  <si>
    <t>DEW422 (EL)</t>
  </si>
  <si>
    <t>COS Wholesale YOOX</t>
  </si>
  <si>
    <t>EK</t>
  </si>
  <si>
    <t>DEW421 (EK)</t>
  </si>
  <si>
    <t>Arket Wholesale YOOX</t>
  </si>
  <si>
    <t>DP</t>
  </si>
  <si>
    <t>DEW396 (DP)</t>
  </si>
  <si>
    <t>&amp;Other Stories Wholesale YOOX</t>
  </si>
  <si>
    <t>EJ</t>
  </si>
  <si>
    <t>DEW423 (EJ)</t>
  </si>
  <si>
    <t>Weekday Wholesale Ben&amp;</t>
  </si>
  <si>
    <t>EO</t>
  </si>
  <si>
    <t>DEW427 (EO)</t>
  </si>
  <si>
    <t xml:space="preserve">COS Wholesale Breuninger </t>
  </si>
  <si>
    <t>IH</t>
  </si>
  <si>
    <t>DEW468 (IH)</t>
  </si>
  <si>
    <t>ARKET Wholesale Breuninger</t>
  </si>
  <si>
    <t>FD</t>
  </si>
  <si>
    <t>DEW467 (FD)</t>
  </si>
  <si>
    <t>Arket Wholesale Mr Porter EU</t>
  </si>
  <si>
    <t>GJ</t>
  </si>
  <si>
    <t>DEW520 (GJ)</t>
  </si>
  <si>
    <t>Weekday Wholesale Inter Jeans</t>
  </si>
  <si>
    <t>WK</t>
  </si>
  <si>
    <t>GBD004 (WK)</t>
  </si>
  <si>
    <t>H&amp;M wholesale Adorable Selfridge</t>
  </si>
  <si>
    <t>WD</t>
  </si>
  <si>
    <t>DEW538 (WD)</t>
  </si>
  <si>
    <t>Weekday Wholesale Boozt</t>
  </si>
  <si>
    <t>DE254073651</t>
  </si>
  <si>
    <t>IA</t>
  </si>
  <si>
    <t>GBD005 (IA)</t>
  </si>
  <si>
    <t>ARKET wholesale NEXT</t>
  </si>
  <si>
    <t>DE254073652</t>
  </si>
  <si>
    <t>TREU (Hamburg)</t>
  </si>
  <si>
    <t>various</t>
  </si>
  <si>
    <t>H&amp;M Transit Europe (Hamburg)</t>
  </si>
  <si>
    <t>Great Britain</t>
  </si>
  <si>
    <t>GB</t>
  </si>
  <si>
    <t>GBW150 (GB)</t>
  </si>
  <si>
    <t>H&amp;M store Great Britain (AW, Rugby)</t>
  </si>
  <si>
    <t>London</t>
  </si>
  <si>
    <t xml:space="preserve">H &amp; M Hennes &amp; Mauritz GBC AB
c/o H &amp; M Hennes &amp; Mauritz UK Services Ltd.
1st Floor Uk House, 164-182 Oxford Street
London, W1D 1NN
UK
DLIMPEX-GB@hm.com
EORI: GB894525582000
</t>
  </si>
  <si>
    <t>Delamode Anglia Ltd 
Unit 14 Summit Buisness Park Langer Road
Felixstowe P11 2JB
UK
hm_air_documentation_pre_alerts@anglia-forwarding.co.uk</t>
  </si>
  <si>
    <t>GB894525582</t>
  </si>
  <si>
    <t>VAT NUMBER</t>
  </si>
  <si>
    <t>GBW252 (GB)</t>
  </si>
  <si>
    <t>H&amp;M store Great Britain (RW, Milton Keynes)</t>
  </si>
  <si>
    <t>see GB / GBW150</t>
  </si>
  <si>
    <t>OG</t>
  </si>
  <si>
    <t>GBW264 (OG)</t>
  </si>
  <si>
    <t>H&amp;M online Great Britain (Milton Keynes)</t>
  </si>
  <si>
    <t>DX</t>
  </si>
  <si>
    <t>GBW238 (DX)</t>
  </si>
  <si>
    <t>COS store Europe (Southall)</t>
  </si>
  <si>
    <t>Hong Kong</t>
  </si>
  <si>
    <t>HX</t>
  </si>
  <si>
    <t>HKW559 (HK)</t>
  </si>
  <si>
    <t>COS store Hong Kong</t>
  </si>
  <si>
    <t xml:space="preserve">Hong Kong </t>
  </si>
  <si>
    <t>H &amp; M Hennes &amp; Mauritz Holding Asia Ltd.
C/O Yusen Logistics (Hong Kong) Ltd.
Interlink Warehouse Office
22/F Goodman Interlink
39 Tsing Yi Road, Tsing Yi
Hong Kong
YLHK.ML.IMPORTHM@hk.yusen-logistics.com</t>
  </si>
  <si>
    <t xml:space="preserve">H &amp; M Hennes &amp; Mauritz Holding Asia Ltd.
Suite 1 &amp; 2 11/F Tower 6
33 Canton Road Kowloon
Hong Kong
DLIMPEX-HK@hm.com
</t>
  </si>
  <si>
    <t>TRADE REGISTER NUMBER</t>
  </si>
  <si>
    <t>India</t>
  </si>
  <si>
    <t>IN</t>
  </si>
  <si>
    <t>INW151 (IN)</t>
  </si>
  <si>
    <t>H&amp;M store India (Delhi)</t>
  </si>
  <si>
    <t>New Dehli</t>
  </si>
  <si>
    <t>H&amp;M Hennes and Mauritz Retail Private Limited
Khasra No. 23/13, Tauru,
Mewat – 122105, Haryana - India
GSTIN : 06AADCH3567M1Z9
sumit.gupta@hm.com
DLIMPEX-IN@hm.com</t>
  </si>
  <si>
    <t xml:space="preserve">KENSHINE GLOBAL LOGISTICS PVT. LTD.,
C-704, Neelkanth Business Park, 
Nathani Road, Next to Vidyavihar Station West, 
Mumbai 400 086
TEL NO. : 022-67860000 / 9167774555
imports@kenshineglobal.com
CAR No.AAACA802BCNBOM4
Contact : Ms.Harina
</t>
  </si>
  <si>
    <t>IEC: 0514006668</t>
  </si>
  <si>
    <t>CIN</t>
  </si>
  <si>
    <t>OI</t>
  </si>
  <si>
    <t>INW404 (OI)</t>
  </si>
  <si>
    <t>H&amp;M online india (Delhi)</t>
  </si>
  <si>
    <t>H&amp;M Hennes &amp; Mauritz Retail Private Limited
C/o LF Logistics India Pvt. Ltd., Blocks B+G Farukhnagar Logistics Parks LLP,
Village &amp; Tehsil, Farukhnagar , Gurugram,HARYANA,122506
India GSTIN: 06AADCH3567M2Z8
sumit.gupta@hm.com
DLIMPEX-IN@hm.com</t>
  </si>
  <si>
    <t>KENSHINE GLOBAL LOGISTICS PVT. LTD.,
C-704, Neelkanth Business Park, 
Nathani Road, Next to Vidyavihar Station West, 
Mumbai 400 086
TEL NO. : 022-67860000 / 9167774555
imports@kenshineglobal.com
CAR No.AAACA802BCNBOM4
Contact : Ms.Harina</t>
  </si>
  <si>
    <t>INW243 (OI)</t>
  </si>
  <si>
    <t>H&amp;M online India (Mumbai)</t>
  </si>
  <si>
    <t>Mumbai</t>
  </si>
  <si>
    <t>H&amp;M Hennes &amp; Mauritz Retail Private Limited
K-Square Logistics Park, C/O LF LOGISTICS
Prakhhyat Infraprojects Pvt. Ltd
Building 6, Tal - Bhiwandi
Thane 421101, Maharashtra
India
GSTIN : 27AADCH3567M2Z4
sumit.gupta@hm.com
DLIMPEX-IN@hm.com</t>
  </si>
  <si>
    <t>BK</t>
  </si>
  <si>
    <t>INW347 (BK)</t>
  </si>
  <si>
    <t>COS store India (Delhi)</t>
  </si>
  <si>
    <t>COS Retail Private Limited
Khasra No. 23/13, 
Tauru, Mewat
Haryana – 122105
India
GSTIN: 06AAICC9816D1ZO
sumit.gupta@hm.com
DLIMPEX-IN@hm.com</t>
  </si>
  <si>
    <t>IEC: AAICC9816D</t>
  </si>
  <si>
    <t>INW541 (BK)</t>
  </si>
  <si>
    <t>COS store India (Mumbai Omni WH)</t>
  </si>
  <si>
    <t>TBA</t>
  </si>
  <si>
    <t>JK</t>
  </si>
  <si>
    <t>INW543 (JK)</t>
  </si>
  <si>
    <t>COS online India (Mumbai Omni WH)</t>
  </si>
  <si>
    <t xml:space="preserve">TBA </t>
  </si>
  <si>
    <t>INW533 (IN)</t>
  </si>
  <si>
    <t>H&amp;M store India (Mumbai Omni WH)</t>
  </si>
  <si>
    <t>INW535 (OI)</t>
  </si>
  <si>
    <t>H&amp;M online India (Mumbai Omni WH)</t>
  </si>
  <si>
    <t>Indonesia</t>
  </si>
  <si>
    <t>ID</t>
  </si>
  <si>
    <t>IDW224 (ID)</t>
  </si>
  <si>
    <t>H&amp;M store Indonesia</t>
  </si>
  <si>
    <t>Singapore</t>
  </si>
  <si>
    <t>H&amp;M Hennes &amp; Mauritz GBC AB
c/o Damco Logistics Malaysia Sdn. Bhd.
Lot D21, Jalan Tanjung A/3, 
Port of Tanjung Pelepas  
81560 Gelang Patah, 
Johor Darul Takzim
hnmtpp@damco.com
DLTransitOfficeSG@hm.com</t>
  </si>
  <si>
    <t>CIK</t>
  </si>
  <si>
    <t>OL</t>
  </si>
  <si>
    <t>IDW262 (OL)</t>
  </si>
  <si>
    <t>H&amp;M online Indonesia</t>
  </si>
  <si>
    <t>see ID</t>
  </si>
  <si>
    <t>Israel</t>
  </si>
  <si>
    <t>IX</t>
  </si>
  <si>
    <t>IXW086 (IX)</t>
  </si>
  <si>
    <t>H&amp;M store IX</t>
  </si>
  <si>
    <t xml:space="preserve">H&amp;M Hennes &amp; Mauritz GBC AB
c/o Damco Logistics Malaysia Sdn. Bhd.
Lot D21, Jalan Tanjung A/3,
Port of Tanjung Pelepas 
81560, Gelang Patah
Johor Darul Takzim
HNMTPP@ DAMCO.COM  
SGRMTransitImport@hm.com </t>
  </si>
  <si>
    <t>N/A</t>
  </si>
  <si>
    <t>XI</t>
  </si>
  <si>
    <t>IXW208 (XI)</t>
  </si>
  <si>
    <t>COS store IX</t>
  </si>
  <si>
    <t>see IX</t>
  </si>
  <si>
    <t>DA</t>
  </si>
  <si>
    <t>IXW353 (DA)</t>
  </si>
  <si>
    <t>&amp;Other Stories store IX</t>
  </si>
  <si>
    <t>DB</t>
  </si>
  <si>
    <t>IXW352 (DB)</t>
  </si>
  <si>
    <t>H&amp;M online IX</t>
  </si>
  <si>
    <t>Italy</t>
  </si>
  <si>
    <t>OF</t>
  </si>
  <si>
    <t>ITW128 (OF)</t>
  </si>
  <si>
    <r>
      <t xml:space="preserve">H&amp;M online South Europe
</t>
    </r>
    <r>
      <rPr>
        <b/>
        <sz val="11"/>
        <color theme="4" tint="-0.249977111117893"/>
        <rFont val="Calibri"/>
        <family val="2"/>
        <scheme val="minor"/>
      </rPr>
      <t xml:space="preserve"> (* no cosmetic and fashion jewellery belonging to chapter 7117)</t>
    </r>
  </si>
  <si>
    <t>Milano</t>
  </si>
  <si>
    <t>H&amp;M Hennes &amp; Mauritz GBC AB
c/o GXO Logistics 
Akno Business Park
Via Benigno Zaccagnini / Via Primo Levi
27049 Stradella (PV)
Italy 
EORI: SE5560701715</t>
  </si>
  <si>
    <r>
      <t xml:space="preserve">From TOD 17th of November all origins:
</t>
    </r>
    <r>
      <rPr>
        <sz val="10"/>
        <color theme="4" tint="-0.249977111117893"/>
        <rFont val="Calibri"/>
        <family val="2"/>
        <scheme val="minor"/>
      </rPr>
      <t>Niinivirta Transport S.P.A.
Via Adetta 16/A
I-20067 Tribiano (MI)
Milan, Italy</t>
    </r>
  </si>
  <si>
    <t>IT00121719991</t>
  </si>
  <si>
    <t>LH</t>
  </si>
  <si>
    <t>ITW128 (LH)</t>
  </si>
  <si>
    <r>
      <t xml:space="preserve">H&amp;M online East Europe
</t>
    </r>
    <r>
      <rPr>
        <b/>
        <sz val="11"/>
        <color theme="4" tint="-0.249977111117893"/>
        <rFont val="Calibri"/>
        <family val="2"/>
        <scheme val="minor"/>
      </rPr>
      <t xml:space="preserve"> (* no cosmetic and fashion jewellery belonging to chapter 7117)</t>
    </r>
  </si>
  <si>
    <t>Japan</t>
  </si>
  <si>
    <t>JP</t>
  </si>
  <si>
    <t>JPW053 (JP)</t>
  </si>
  <si>
    <t>H&amp;M store Japan</t>
  </si>
  <si>
    <t>Tokyo</t>
  </si>
  <si>
    <r>
      <rPr>
        <sz val="10"/>
        <color rgb="FF366092"/>
        <rFont val="Calibri"/>
        <family val="2"/>
        <scheme val="minor"/>
      </rPr>
      <t xml:space="preserve">H&amp;M HENNES &amp; MAURITZ GBC AB C/O
H &amp; M HENNES &amp; MAURITZ JAPAN K K, 
GLP KAWASAKI
3-1-4 IKEGAMI-SHINCHO
KAWASAKI-KU, KAWASKI CITY,
KANAGAWA  210-0832
JAPAN
ATTN </t>
    </r>
    <r>
      <rPr>
        <sz val="10"/>
        <color rgb="FFFF0000"/>
        <rFont val="Calibri"/>
        <family val="2"/>
        <scheme val="minor"/>
      </rPr>
      <t>:</t>
    </r>
    <r>
      <rPr>
        <sz val="10"/>
        <color rgb="FF16365C"/>
        <rFont val="Calibri"/>
        <family val="2"/>
        <scheme val="minor"/>
      </rPr>
      <t xml:space="preserve"> Daisuke Sakai
</t>
    </r>
    <r>
      <rPr>
        <sz val="10"/>
        <color rgb="FF305496"/>
        <rFont val="Calibri"/>
        <family val="2"/>
        <scheme val="minor"/>
      </rPr>
      <t xml:space="preserve">TEL : +81 (44)2804260
DLIMPEX-JP@hm.com </t>
    </r>
  </si>
  <si>
    <r>
      <t xml:space="preserve">Kintetsu World Express ,Inc.
ATTN: Mr. KITARO KATSURA
6th FL Sumitomo Fudosan Shiba Bldg.No.3,
1-7-17 Shiba,Minato-ku,Tokyo 105-0014, Japan
Phone:+81-3-6865-1206
</t>
    </r>
    <r>
      <rPr>
        <b/>
        <sz val="10"/>
        <color rgb="FF366092"/>
        <rFont val="Calibri"/>
        <family val="2"/>
        <scheme val="minor"/>
      </rPr>
      <t xml:space="preserve">
NCG shipments:
</t>
    </r>
    <r>
      <rPr>
        <sz val="10"/>
        <color rgb="FF16365C"/>
        <rFont val="Calibri"/>
        <family val="2"/>
        <scheme val="minor"/>
      </rPr>
      <t xml:space="preserve">LOGISTEED Express, Ltd.
</t>
    </r>
    <r>
      <rPr>
        <sz val="10"/>
        <color rgb="FF305496"/>
        <rFont val="Calibri"/>
        <family val="2"/>
        <scheme val="minor"/>
      </rPr>
      <t>ATTN: Mr. KOICHI HONMA
1-8-10, Harumi,Chuo-ku,Tokyo 104-6026, Japan
Tel. +81-3-6864-6527</t>
    </r>
  </si>
  <si>
    <t>Identification number</t>
  </si>
  <si>
    <t>JX</t>
  </si>
  <si>
    <t>JPW157 (JX)</t>
  </si>
  <si>
    <t>COS store Japan</t>
  </si>
  <si>
    <t>see JP</t>
  </si>
  <si>
    <t>OJ</t>
  </si>
  <si>
    <t>JPW171 (OJ)</t>
  </si>
  <si>
    <t>H&amp;M online Japan</t>
  </si>
  <si>
    <t>XF</t>
  </si>
  <si>
    <t>JPW308 (XF)</t>
  </si>
  <si>
    <t>COS online Japan</t>
  </si>
  <si>
    <t>Malaysia</t>
  </si>
  <si>
    <t>MY</t>
  </si>
  <si>
    <t>MYW069 (MY)</t>
  </si>
  <si>
    <t>H&amp;M store Malaysia</t>
  </si>
  <si>
    <t>Kuala Lumpur</t>
  </si>
  <si>
    <t>H &amp; M Retail Sdn Bhd.
O/B H&amp;M Hennes &amp; Mauritz GBC AB
Suite 705, Level 6 &amp; 7 Residensi Tribeca
No. 215 Jalan Imbi
55100 Kuala Lumpur
Malaysia
DLIMPEX-MY@hm.com</t>
  </si>
  <si>
    <t>GEODIS MALAYSIA SDN BHD 
Lot B7B-3, MAS Freight Forwarder Complex,
KLIA Cargo Village, Southern Support Zone,
64000 Sepang, 
Selangor, Malaysia
air.kul.ff.my@geodis.com</t>
  </si>
  <si>
    <t>XY</t>
  </si>
  <si>
    <t>MYW187 (XY)</t>
  </si>
  <si>
    <t>COS store Malaysia</t>
  </si>
  <si>
    <t>see MY</t>
  </si>
  <si>
    <t>DL</t>
  </si>
  <si>
    <t>MYW402 (DL)</t>
  </si>
  <si>
    <t>&amp;Other Stories store Malaysia</t>
  </si>
  <si>
    <t>JN</t>
  </si>
  <si>
    <t>MYW544 (JN)</t>
  </si>
  <si>
    <t>Weekday store Malaysia</t>
  </si>
  <si>
    <t>NH</t>
  </si>
  <si>
    <t>MYW340 (NH)</t>
  </si>
  <si>
    <t xml:space="preserve">Online South East Asia </t>
  </si>
  <si>
    <t>Jade Eservices Malaysia Sdn Bhd
C/O H&amp;M Hennes &amp; Mauritz GBC AB
Mapletree Distripark Block A,
14 Persiaran Perushaan, Sek 23 Shah Alam,
40300 Selangor
email: zops-scm@zalora.com</t>
  </si>
  <si>
    <t xml:space="preserve">
201101044885</t>
  </si>
  <si>
    <t>UEN</t>
  </si>
  <si>
    <t>JL</t>
  </si>
  <si>
    <t>MYW540 (JL)</t>
  </si>
  <si>
    <t>COS Online MCA</t>
  </si>
  <si>
    <t>see NH</t>
  </si>
  <si>
    <t>Mexico</t>
  </si>
  <si>
    <t>MX</t>
  </si>
  <si>
    <t>MXW071 (MX)</t>
  </si>
  <si>
    <t>H&amp;M store Mexico</t>
  </si>
  <si>
    <t>Mexico City</t>
  </si>
  <si>
    <t>GOMSA Integradora S.A.P.I. de C.V.
R.F.C. : GIN 140609 RE5
Av. Tahel 429, 2do. Piso, Col. Pensador Mexicano, C.P.15510, CDMX
Alcaldía de Venustino Carranza
01 52 55 5771-8200
operaciones_hym_aame@gomsa.com</t>
  </si>
  <si>
    <r>
      <t>HAM120221P51</t>
    </r>
    <r>
      <rPr>
        <b/>
        <sz val="10"/>
        <color rgb="FF366092"/>
        <rFont val="Calibri"/>
        <family val="2"/>
        <scheme val="minor"/>
      </rPr>
      <t xml:space="preserve">
NCG shipments:</t>
    </r>
    <r>
      <rPr>
        <sz val="10"/>
        <color rgb="FF366092"/>
        <rFont val="Calibri"/>
        <family val="2"/>
        <scheme val="minor"/>
      </rPr>
      <t xml:space="preserve"> HAM111006K69</t>
    </r>
  </si>
  <si>
    <t>RFC</t>
  </si>
  <si>
    <t>LD</t>
  </si>
  <si>
    <t>MXW251 (LD)</t>
  </si>
  <si>
    <t>H&amp;M online Mexico</t>
  </si>
  <si>
    <t>see MX</t>
  </si>
  <si>
    <t>HAM120221P51</t>
  </si>
  <si>
    <t>AK</t>
  </si>
  <si>
    <t>MXW369 (AK)</t>
  </si>
  <si>
    <t>COS store Mexico</t>
  </si>
  <si>
    <t>Middle East</t>
  </si>
  <si>
    <t>ME</t>
  </si>
  <si>
    <t>AEW075 (ME)</t>
  </si>
  <si>
    <t>H&amp;M store Middle East</t>
  </si>
  <si>
    <t>Dubai</t>
  </si>
  <si>
    <t>LOGIX FZCO
SOUTH ZONE, Plot No.S21515
PO BOX 261422, 
JEBEL ALI FREEZONE,
DUBAI, UAE
ATTN: LYN MATHEWS 
Tel: +9714 8038828
tariq.ahmad@alshaya.com
Shipping.logix@alshaya.com</t>
  </si>
  <si>
    <t>LOGIX FZCO
PO Box 261422
Jebel Ali Free Zone
Plot No.S21515
South Zone
Dubai, United Arab Emirates</t>
  </si>
  <si>
    <t>SAW081 (ME)</t>
  </si>
  <si>
    <t>see ME</t>
  </si>
  <si>
    <t>OD</t>
  </si>
  <si>
    <t>AEW244 (OD)</t>
  </si>
  <si>
    <t>H&amp;M online Middle East</t>
  </si>
  <si>
    <t>XM</t>
  </si>
  <si>
    <t>AEW077 (XM)</t>
  </si>
  <si>
    <t>COS store Middle East</t>
  </si>
  <si>
    <t>ZE</t>
  </si>
  <si>
    <t>AEW206 (ZE)</t>
  </si>
  <si>
    <t>&amp;Other Stories Middle East</t>
  </si>
  <si>
    <t>Netherlands</t>
  </si>
  <si>
    <t>OE</t>
  </si>
  <si>
    <t>NLW174 (OE)</t>
  </si>
  <si>
    <t>H&amp;M online Central Europe</t>
  </si>
  <si>
    <t>Amsterdam</t>
  </si>
  <si>
    <t xml:space="preserve">H&amp;M Hennes &amp; Mauritz BV
c/o XPO
Letostraat 33-35
NL-5047 RP Tilburg
The Netherlands
impex.tilburg@hm.com
EORI: SE5560701715
</t>
  </si>
  <si>
    <t xml:space="preserve">Damco Netherlands BV
Shannonweg  1,
1118 LA Schiphol
Netherlands
Customer Care Team
Charles Vrijenhoek, phone +31 20 655 6302
Jorne Postema, phone +31 20 710 6203
amsdamaircus@damco.com </t>
  </si>
  <si>
    <t>NL009294703B01</t>
  </si>
  <si>
    <t>NLW212 (DX)</t>
  </si>
  <si>
    <t>COS store Europe (Tilburg)</t>
  </si>
  <si>
    <t>see OE/NLW174</t>
  </si>
  <si>
    <t>EW</t>
  </si>
  <si>
    <t>NLW216 (EW)</t>
  </si>
  <si>
    <t>Weekday store Europe</t>
  </si>
  <si>
    <t>EZ</t>
  </si>
  <si>
    <t>NLW218 (EZ)</t>
  </si>
  <si>
    <t>&amp;Other Stories store Europe</t>
  </si>
  <si>
    <t>OW</t>
  </si>
  <si>
    <t>NLW195 (OW)</t>
  </si>
  <si>
    <t>Weekday online Europe</t>
  </si>
  <si>
    <t>OX</t>
  </si>
  <si>
    <t>NLW197 (OX)</t>
  </si>
  <si>
    <t>COS online Europe</t>
  </si>
  <si>
    <t>OZ</t>
  </si>
  <si>
    <t>NLW198 (OZ)</t>
  </si>
  <si>
    <t>&amp;Other Stories online Europe</t>
  </si>
  <si>
    <t>QO</t>
  </si>
  <si>
    <t>NLW196 (QO)</t>
  </si>
  <si>
    <t>ARKET online</t>
  </si>
  <si>
    <t>QP</t>
  </si>
  <si>
    <t>NLW199 (QP)</t>
  </si>
  <si>
    <t>ARKET store</t>
  </si>
  <si>
    <t>NLW174 (OF)</t>
  </si>
  <si>
    <t>H&amp;M online South Europe (Tilburg)</t>
  </si>
  <si>
    <t>Panama</t>
  </si>
  <si>
    <t>PA</t>
  </si>
  <si>
    <t>PAW317 (PA)</t>
  </si>
  <si>
    <t>H&amp;M store Panama</t>
  </si>
  <si>
    <t>Peru</t>
  </si>
  <si>
    <t>PE</t>
  </si>
  <si>
    <t>PEW153 (PE)</t>
  </si>
  <si>
    <t>H&amp;M store Peru</t>
  </si>
  <si>
    <t>Lima</t>
  </si>
  <si>
    <t xml:space="preserve">H &amp; M Hennes &amp; Mauritz S.A.C.
Av. Victor Andres Belaunde 147 Int. 201
Via Principal 140 (Edificio real 6)
San Isidro, Lima
Peru
RUC: 20555881551 </t>
  </si>
  <si>
    <t xml:space="preserve">LBC AGENTES DE ADUANA S.A.C.
RUC:20543287025
Av. San Luis 1363 Piso 4
Código Postal 15021                                                                             imiagusuku@lbcaduanas.com  </t>
  </si>
  <si>
    <t>RUC</t>
  </si>
  <si>
    <t>Philippines</t>
  </si>
  <si>
    <t>PH</t>
  </si>
  <si>
    <t>PHW139 (PH)</t>
  </si>
  <si>
    <t>H&amp;M store Philippines</t>
  </si>
  <si>
    <t>Manila</t>
  </si>
  <si>
    <t>H&amp;M Hennes &amp; Mauritz INC.
30/F Zuellig Bldg.
Makati Avenue Cor Paseo de Roxas
Makati City 1226
Philippines
DLIMPEX-PH@hm.com</t>
  </si>
  <si>
    <r>
      <rPr>
        <b/>
        <sz val="10"/>
        <color rgb="FF366092"/>
        <rFont val="Calibri"/>
        <family val="2"/>
        <scheme val="minor"/>
      </rPr>
      <t xml:space="preserve">from origin BD, ID, VN, IN, IT, PG, TR:
</t>
    </r>
    <r>
      <rPr>
        <sz val="10"/>
        <color rgb="FF366092"/>
        <rFont val="Calibri"/>
        <family val="2"/>
        <scheme val="minor"/>
      </rPr>
      <t xml:space="preserve">CEVA Freight Forwarding (PHILIPPINES) Inc.
Unit 707 – 710A, West Tower, 8912 Aseana Building, Aseana Avenue Paranaque City Philippines
Attn: Joemalyn Himan
M: +63 917 1255733
E: Joemalyn.Himan@cevalogistics.com
</t>
    </r>
    <r>
      <rPr>
        <b/>
        <sz val="10"/>
        <color rgb="FF366092"/>
        <rFont val="Calibri"/>
        <family val="2"/>
        <scheme val="minor"/>
      </rPr>
      <t xml:space="preserve">from origin CN, MM, HK, PT, RO, TK, KH, PK:
</t>
    </r>
    <r>
      <rPr>
        <sz val="10"/>
        <color rgb="FF366092"/>
        <rFont val="Calibri"/>
        <family val="2"/>
        <scheme val="minor"/>
      </rPr>
      <t xml:space="preserve">Maersk Logistics and Services Philippines Inc
9/F, One E-com Ctr Harbor Drive corner Sunset Avenue Mall of Asia Complex Barangay 76, 1300 Pasay City NCR, fourth District Philippines
phchboperations@maersk.com 
</t>
    </r>
  </si>
  <si>
    <t>008-675-559</t>
  </si>
  <si>
    <t>SEC REGISTRATION NUMBER</t>
  </si>
  <si>
    <t>AV</t>
  </si>
  <si>
    <t>PHW360 (AV)</t>
  </si>
  <si>
    <t xml:space="preserve">COS store Philippines </t>
  </si>
  <si>
    <t>see PH</t>
  </si>
  <si>
    <t>Poland</t>
  </si>
  <si>
    <t>PL</t>
  </si>
  <si>
    <t>PLW019 (PL)</t>
  </si>
  <si>
    <t>H&amp;M store East Europe (Grodzisk)</t>
  </si>
  <si>
    <t xml:space="preserve">Frankfurt </t>
  </si>
  <si>
    <t>H&amp;M Hennes &amp; Mauritz Logistics SP Z.O.O.
Magazynowa 3
62 023 Gadki (Poznan)
Poland
DLIMPEX-PL@hm.com
EORI: SE5560701715</t>
  </si>
  <si>
    <t>REGON NUMBER</t>
  </si>
  <si>
    <t>PLW256 (LH)</t>
  </si>
  <si>
    <t>H&amp;M online East Europe (Strykow)</t>
  </si>
  <si>
    <t>see PL</t>
  </si>
  <si>
    <t>PLW067 (OE)</t>
  </si>
  <si>
    <t>H&amp;M online Central Europe (Gadki)</t>
  </si>
  <si>
    <t>SW</t>
  </si>
  <si>
    <t>PLW067 (SW)</t>
  </si>
  <si>
    <t>H&amp;M Online Scandinavia (Gadki)</t>
  </si>
  <si>
    <t xml:space="preserve">Poland </t>
  </si>
  <si>
    <t>PLW512 (OW)</t>
  </si>
  <si>
    <t>Weekday online Europe (Gadki)</t>
  </si>
  <si>
    <t>PLW237 (OE)</t>
  </si>
  <si>
    <t>H&amp;M online Central Europe (Boleslawiec)</t>
  </si>
  <si>
    <t xml:space="preserve">DT </t>
  </si>
  <si>
    <t xml:space="preserve">PLW405 (DT) </t>
  </si>
  <si>
    <t>Creator Studio Europe (Robakova)</t>
  </si>
  <si>
    <t>PLW519 (DE)</t>
  </si>
  <si>
    <t>H&amp;M store Central Europe (Gadki)</t>
  </si>
  <si>
    <t>Frankfurt</t>
  </si>
  <si>
    <t>PLW513 (OX)</t>
  </si>
  <si>
    <t>COS online Europe (Robakowo PB)</t>
  </si>
  <si>
    <t>PLW515 (OZ)</t>
  </si>
  <si>
    <t>&amp;Other Stories online (Robakowo PB)</t>
  </si>
  <si>
    <t>PLW514 (QO)</t>
  </si>
  <si>
    <t>ARKET online Europe (Robakowo PB)</t>
  </si>
  <si>
    <t>PLW532 (OW)</t>
  </si>
  <si>
    <t>Weekday online Europe (Robakowo PB)</t>
  </si>
  <si>
    <t>PLW526 (DX)</t>
  </si>
  <si>
    <t>COS store Europe (Robakowo PB)</t>
  </si>
  <si>
    <t>PLW524 (EW)</t>
  </si>
  <si>
    <t>Weekday store Europe (Robakowo PB)</t>
  </si>
  <si>
    <t>PLW530 (EZ)</t>
  </si>
  <si>
    <t>&amp;Other Stories store Europe (Robakowo PB)</t>
  </si>
  <si>
    <t>PLW528 (QP)</t>
  </si>
  <si>
    <t>ARKET store Europe (Robakowo PB)</t>
  </si>
  <si>
    <t>Serbia</t>
  </si>
  <si>
    <t>RS</t>
  </si>
  <si>
    <t>RSW120 (RS)</t>
  </si>
  <si>
    <t>H&amp;M store Serbia</t>
  </si>
  <si>
    <t>Belgrade</t>
  </si>
  <si>
    <t>H&amp;M Hennes &amp; Mauritz D.O.O.                 
Kosovska 39
11000 Belgrade
TIN (PIB): 107559340       
Serbia
DLIMPEX-RS@hm.com</t>
  </si>
  <si>
    <t>Milsped doo
Bulevar Zorana Djindjica 121
11070 Belgrade, Serbia
tel:  +381 11 22 50 706
kristina.bojovic@milsped.com</t>
  </si>
  <si>
    <t>RS107559340</t>
  </si>
  <si>
    <t>VAT number</t>
  </si>
  <si>
    <t>TRAS (Tanjung Pelepas)</t>
  </si>
  <si>
    <t>H&amp;M Transit Asia (Tanjung Pelepas)</t>
  </si>
  <si>
    <t>H&amp;M HENNES &amp; MAURITZ GBC AB
C/O Maersk Logistics &amp; Services Malaysia SDN BHD
Lot D21, Jalan Tanjung A/3,
Port of Tanjung Pelepas
81560 Gelang Patah, Johor,
Malaysia
DMYTPPMYTPPHM@LNS.MAERSK.COM
SGRMTransitImport@hm.com</t>
  </si>
  <si>
    <t>H&amp;M HENNES &amp; MAURITZ GBC AB
C/O Maersk Logistics &amp; Services Malaysia SDN BHD
Lot D21, Jalan Tanjung A/3,
Port of Tanjung Pelepas
81560 Gelang Patah, Johor,
Malaysia
DMYTPPMYTPPHM@LNS.MAERSK.COM                           SGRMTransitImport@hm.com</t>
  </si>
  <si>
    <t>South Africa</t>
  </si>
  <si>
    <t>ZA</t>
  </si>
  <si>
    <t>ZAW161 (ZA)</t>
  </si>
  <si>
    <t>H&amp;M store South Africa</t>
  </si>
  <si>
    <t>Johannesburg</t>
  </si>
  <si>
    <t>H &amp; M HENNES &amp; MAURITZ GBC AB 
(INCORPORATED IN SWEDEN) 
EXTERNAL PROFIT COMPANY
Suite 6, First Floor, Union Castle Building, 
Dock Road, V&amp;A Waterfront
Cape Town
South Africa
DLIMPEX-ZA2@hm.com</t>
  </si>
  <si>
    <t>Maersk Logistics and Services
2nd Floor, Liberty Life Building
2 Park Lane Drive
Umhlanga Ridge
Durban
South Africa
Phone: +27 31 336 7541
hmzadoc@damco.com</t>
  </si>
  <si>
    <t>South Korea</t>
  </si>
  <si>
    <t>KR</t>
  </si>
  <si>
    <t>KRW452 (KR)</t>
  </si>
  <si>
    <t>H&amp;M store South Korea</t>
  </si>
  <si>
    <t>Seoul</t>
  </si>
  <si>
    <t>H&amp;M Hennes &amp; Mauritz Ltd
9F, Samtan Bldg.
421, Yeongdong-daero, 06182
Gangnam-gu, Seoul
Republic of Korea
DLIMPEX-KR3@hm.com</t>
  </si>
  <si>
    <t>SEIN Customs Broker
Seocho Dong-A tower 2F,
138, Seoun-ro, Seocho-gu, 06619
Seoul, South Korea
Attn: Yu Jeong Go
phone: +82 2 6929 3469
hnm@esein.co.kr</t>
  </si>
  <si>
    <t>CORPORATE REGISTERED NUMBER</t>
  </si>
  <si>
    <t>KO</t>
  </si>
  <si>
    <t>KRW463 (KO)</t>
  </si>
  <si>
    <t>&amp;Other Stories online South Korea</t>
  </si>
  <si>
    <t>see KR</t>
  </si>
  <si>
    <t>KX</t>
  </si>
  <si>
    <t>KRW455 (KX)</t>
  </si>
  <si>
    <t>COS store South Korea</t>
  </si>
  <si>
    <t>OK</t>
  </si>
  <si>
    <t>KRW454 (OK)</t>
  </si>
  <si>
    <t>H&amp;M online South Korea</t>
  </si>
  <si>
    <t>XK</t>
  </si>
  <si>
    <t>KRW457 (XK)</t>
  </si>
  <si>
    <t>COS online South Korea</t>
  </si>
  <si>
    <t>ZK</t>
  </si>
  <si>
    <t>KRW461 (ZK)</t>
  </si>
  <si>
    <t>&amp;Other Stories store South Korea</t>
  </si>
  <si>
    <t xml:space="preserve">DH </t>
  </si>
  <si>
    <t>KRW460 (DH)</t>
  </si>
  <si>
    <t>Arket online South Korea</t>
  </si>
  <si>
    <t xml:space="preserve">see KR </t>
  </si>
  <si>
    <t>BP</t>
  </si>
  <si>
    <t>KRW458 (BP)</t>
  </si>
  <si>
    <t>ARKET store South Korea</t>
  </si>
  <si>
    <t>Spain</t>
  </si>
  <si>
    <t>ESW038 (BE)</t>
  </si>
  <si>
    <r>
      <t>H&amp;M store Belgium - RW</t>
    </r>
    <r>
      <rPr>
        <b/>
        <sz val="11"/>
        <color rgb="FF366092"/>
        <rFont val="Calibri"/>
        <family val="2"/>
        <scheme val="minor"/>
      </rPr>
      <t xml:space="preserve"> *(no cosmetic to Spain) </t>
    </r>
  </si>
  <si>
    <t xml:space="preserve">Madrid </t>
  </si>
  <si>
    <t>H&amp;M Hennes &amp; Mauritz SLU
Poligono Casablanca
Calle Mario Vargas Llosa 24
28850 Torrejon de Ardoz
Spain
DLIMPEX-ES@hm.com
EORI: SE5560701715</t>
  </si>
  <si>
    <t xml:space="preserve">Expeditors International Barcelona (BCN) 
C/ Bergueda 1, Esc A, Puerta A5, Planta Baja
Edificio Prima Muntadas, Pol. "MAs Blau"  08820
El Prat de Llobregat, Barcelona, SPAIN
Jordi.Lozano@expeditors.com
Phone:  +34 932492664
Andrea.GonzalezLopez@expeditors.com
Phone: + 34 676458883 </t>
  </si>
  <si>
    <t>ESB82356981</t>
  </si>
  <si>
    <t>ESW267 (OF)</t>
  </si>
  <si>
    <r>
      <t xml:space="preserve">H&amp;M online South Europe  </t>
    </r>
    <r>
      <rPr>
        <b/>
        <sz val="11"/>
        <color rgb="FF366092"/>
        <rFont val="Calibri"/>
        <family val="2"/>
        <scheme val="minor"/>
      </rPr>
      <t xml:space="preserve">*(no cosmetic to Spain) </t>
    </r>
  </si>
  <si>
    <t>H&amp;M Hennes &amp; Mauritz SLU
C/O GXO LOGISTICS
Calle Alfareros 4
45200 Illescas ( Toledo)
Spain
DLIMPEX-ES@hm.com
EORI: SE5560701715</t>
  </si>
  <si>
    <t>Sweden</t>
  </si>
  <si>
    <t>SE</t>
  </si>
  <si>
    <t xml:space="preserve">SEW001 (SE) </t>
  </si>
  <si>
    <t>H&amp;M store Sweden</t>
  </si>
  <si>
    <t>Stockholm</t>
  </si>
  <si>
    <t>H&amp;M Hennes &amp; Mauritz GBC AB
Svista Industriv.2
SE - 63180 Eskilstuna
Sweden
DLIMPEX-SE@hm.com
EORI: SE5560701715</t>
  </si>
  <si>
    <t>Damco Sweden AB
Terminalvägen 17
418 79 Göteborg
Email: swedenairimp@damco.com
Tel : +46 31 7512413 / 2410 / 2406</t>
  </si>
  <si>
    <t>SE556070171501</t>
  </si>
  <si>
    <t>SEW065 (SW)</t>
  </si>
  <si>
    <t>H&amp;M online North Europe</t>
  </si>
  <si>
    <t>Gothenburg</t>
  </si>
  <si>
    <t>H&amp;M Hennes &amp; Mauritz GBC  
Hultagatan 47  
507 50 Borås 
Sweden
DLIMPEX-SE@hm.com
EORI: SE5560701715</t>
  </si>
  <si>
    <t>Switzerland</t>
  </si>
  <si>
    <t>CH</t>
  </si>
  <si>
    <t>CHW036 (CH)</t>
  </si>
  <si>
    <t>H&amp;M store Switzerland</t>
  </si>
  <si>
    <t>Zurich</t>
  </si>
  <si>
    <t xml:space="preserve">H &amp; M Hennes &amp; Mauritz GBC AB
c/o H&amp;M Hennes &amp; Mauritz AG
Industriestr. 16
CH-4623 Neuendorf
Switzerland
DLIMPEX-CH@hm.com
UID-Nr. GBC: CHE-113.760.517
EORI-Nr. GBC: SE5560701715
</t>
  </si>
  <si>
    <t>TRS International Transport &amp; Shipping Ltd.
Erlenstrasse 27 B – P.O. Box 467
CH-4106 Therwil / Switzerland
Tel. +41 61 726 94 09
Email: maufdermaur@trs-shipping.ch</t>
  </si>
  <si>
    <t>CHE-113.760.517 MWST</t>
  </si>
  <si>
    <t>UID</t>
  </si>
  <si>
    <t>Taiwan</t>
  </si>
  <si>
    <t>TW</t>
  </si>
  <si>
    <t>TWW155 (TW)</t>
  </si>
  <si>
    <t>H&amp;M store Taiwan</t>
  </si>
  <si>
    <t>Taipei</t>
  </si>
  <si>
    <t>H&amp;M Hennes &amp; Mauritz Netherlands B.V. Taiwan Branch
Unit E, 45F-1, No.7, XinYi Road, Section5,
Xinyi District
Taipei City 11049
Taiwan
Reg-Number: 53673912
DLIMPEX-TW@hm.com</t>
  </si>
  <si>
    <t xml:space="preserve">Forward Express Ltd.
6F., No.19, Sec. 3, Nanjing E. Rd., Zhongshan Dist.
Taipei City 104, Taiwan (R.O.C.)
Sandy-Chen
sandy-chen@mail.forexp.com.tw
</t>
  </si>
  <si>
    <t>UNIFORM INVOICE NUMBER</t>
  </si>
  <si>
    <t>TI</t>
  </si>
  <si>
    <t>TWW185 (TI)</t>
  </si>
  <si>
    <t>COS store Taiwan</t>
  </si>
  <si>
    <t>see TW</t>
  </si>
  <si>
    <t>Thailand</t>
  </si>
  <si>
    <t>TH</t>
  </si>
  <si>
    <t>THW073 (TH)</t>
  </si>
  <si>
    <t>H&amp;M store Thailand</t>
  </si>
  <si>
    <t>XT</t>
  </si>
  <si>
    <t>THW204 (XT)</t>
  </si>
  <si>
    <t>COS store Thailand</t>
  </si>
  <si>
    <t>see TH</t>
  </si>
  <si>
    <t>THW263 (OL)</t>
  </si>
  <si>
    <t>H&amp;M online Thailand/Indonesia</t>
  </si>
  <si>
    <t>Türkiye</t>
  </si>
  <si>
    <t>TR</t>
  </si>
  <si>
    <t>TRW059  (TR)</t>
  </si>
  <si>
    <r>
      <t xml:space="preserve">H&amp;M store Türkiye
</t>
    </r>
    <r>
      <rPr>
        <b/>
        <sz val="11"/>
        <color rgb="FF366092"/>
        <rFont val="Calibri"/>
        <family val="2"/>
        <scheme val="minor"/>
      </rPr>
      <t xml:space="preserve">
*for footwear: please check with Impex TR for approval</t>
    </r>
  </si>
  <si>
    <t>Istanbul</t>
  </si>
  <si>
    <t>H&amp;M Hennes &amp; Mauritz Tekstil Ltd. Sti.        
Harbiye Mah. Abdi Ipekci Cad. No:19/1 Kat:5
NISANTASI-ISTANBUL/Türkiye
TIN:  454 051 1083 Beyoglu V.D.
DLIMPEX-TR@hm.com</t>
  </si>
  <si>
    <t>Unsped Gumruk Musavirligi ve Lojistik Hizmetleri A.S.
Mahmutbey Mahallesi 2655. Sokak No:3 
Bagcilar - Istanbul
VAT Office &amp; number: Marmara Kurumlar / 917 014 4025 
Türkiye</t>
  </si>
  <si>
    <t>454 051 1083</t>
  </si>
  <si>
    <t>MERSIS NUMBER</t>
  </si>
  <si>
    <t>TX</t>
  </si>
  <si>
    <t>TRW105 (TX)</t>
  </si>
  <si>
    <t>COS store Türkiye</t>
  </si>
  <si>
    <t>see TR</t>
  </si>
  <si>
    <t>OT</t>
  </si>
  <si>
    <t>TRW191 (OT)</t>
  </si>
  <si>
    <t>H&amp;M online Türkiye</t>
  </si>
  <si>
    <t>United States</t>
  </si>
  <si>
    <t>US</t>
  </si>
  <si>
    <t>USW022 (US)</t>
  </si>
  <si>
    <t>H&amp;M store USA (East Coast)</t>
  </si>
  <si>
    <t>New York</t>
  </si>
  <si>
    <t xml:space="preserve">H&amp;M HENNES &amp; MAURITZ GBC AB
Ultimate Consignee: H&amp;M Fashion USA, Inc
1600 River Road
Building 1
Burlington Township, NJ 08016
phone: + 1 (609) 239-8703
DLIMPEX-US@hm.com  </t>
  </si>
  <si>
    <r>
      <t>Flexport Customs LLC
760 Market Street, 8th Floor
San Francisco, CA 94102 USA
hm.docturnover@flexport.com</t>
    </r>
    <r>
      <rPr>
        <b/>
        <sz val="10"/>
        <color rgb="FF366092"/>
        <rFont val="Calibri"/>
        <family val="2"/>
        <scheme val="minor"/>
      </rPr>
      <t xml:space="preserve">
2nd Notify &amp; CFS station:
</t>
    </r>
    <r>
      <rPr>
        <sz val="10"/>
        <color rgb="FF366092"/>
        <rFont val="Calibri"/>
        <family val="2"/>
        <scheme val="minor"/>
      </rPr>
      <t>Sarcona Air CFS
FIRMS EAJ4
10 North Ave East
Elizabeth, NJ
 USA
+1 973-466-0026
dmiller@sarcona.com</t>
    </r>
  </si>
  <si>
    <t>93-177898100</t>
  </si>
  <si>
    <t>EIN</t>
  </si>
  <si>
    <t>USW304 (US)</t>
  </si>
  <si>
    <t>H&amp;M store USA (West Coast)</t>
  </si>
  <si>
    <t>Los Angeles</t>
  </si>
  <si>
    <t>H&amp;M Fashion USA, Inc
C/O XPO Logistics
4413 Patterson Ave
Perris, CA 92571
USA</t>
  </si>
  <si>
    <t>Flexport Customs LLC
760 Market Street, 8th Floor
San Francisco, CA 94102 USA
hm.docturnover@flexport.com</t>
  </si>
  <si>
    <t>UX</t>
  </si>
  <si>
    <t>USW146 (UX)</t>
  </si>
  <si>
    <t>COS store USA</t>
  </si>
  <si>
    <t>see USW022</t>
  </si>
  <si>
    <t>ZO</t>
  </si>
  <si>
    <t>USW363 (ZO)</t>
  </si>
  <si>
    <t>&amp;Other Stories online USA</t>
  </si>
  <si>
    <t>ZU</t>
  </si>
  <si>
    <t>USW141 (ZU)</t>
  </si>
  <si>
    <t>&amp;Other Stories store USA</t>
  </si>
  <si>
    <t>UO</t>
  </si>
  <si>
    <t>USW362 (UO)</t>
  </si>
  <si>
    <t>COS online USA</t>
  </si>
  <si>
    <t xml:space="preserve">DF </t>
  </si>
  <si>
    <t>USW373 (DF)</t>
  </si>
  <si>
    <t xml:space="preserve">&amp;other Stories wholesale Popcorn  </t>
  </si>
  <si>
    <t>EQ</t>
  </si>
  <si>
    <t>USW428 (EQ)</t>
  </si>
  <si>
    <t>COS Wholesale Nordstöm</t>
  </si>
  <si>
    <t>EY</t>
  </si>
  <si>
    <t>USW442 (EY)</t>
  </si>
  <si>
    <t>Cos Wholesale Online Nordström</t>
  </si>
  <si>
    <t>FH</t>
  </si>
  <si>
    <t>USW476 (FH)</t>
  </si>
  <si>
    <t>ARKET wholesale Mr Porter US</t>
  </si>
  <si>
    <t>DU</t>
  </si>
  <si>
    <t>USW406 (DU)</t>
  </si>
  <si>
    <t>Business Venture Creator Studio US</t>
  </si>
  <si>
    <t>OU</t>
  </si>
  <si>
    <t>USW068 (OU)</t>
  </si>
  <si>
    <t>H&amp;M online USA (Plainfield)</t>
  </si>
  <si>
    <t>Chicago</t>
  </si>
  <si>
    <t>H&amp;M Fashion USA, Inc
c/o GEODIS
281 Airtech Parkway
Plainfield, Indiana   46168
USA</t>
  </si>
  <si>
    <t>Maersk Customs Services USA
133-33 Brookville Blvd., Suite
308 Jamaica, NY 11422 United States
Tel.: +1 718-632-1500
hm.air.mcsi.nam@maersk.com AND
hm.classifications@flexport.com</t>
  </si>
  <si>
    <t>USW305 (OU)</t>
  </si>
  <si>
    <t>H&amp;M online USA (Perris)</t>
  </si>
  <si>
    <t>Uruguay</t>
  </si>
  <si>
    <t>UY</t>
  </si>
  <si>
    <t>UYW249 (UY)</t>
  </si>
  <si>
    <t>H&amp;M store Uruguay</t>
  </si>
  <si>
    <t>Montevideo</t>
  </si>
  <si>
    <t>HENNES &amp; MAURITZ URUGUAY S.A.
Pasaje Paseo de las Carretas 2580
piso 3 oficina 306
Montevideo, Uruguay
IMPEX-UY@hm.com
RUT NO: 217709500014</t>
  </si>
  <si>
    <t xml:space="preserve">Transportes Rolitrans S.A.
Ituzaingo 1393 of 401.
Zip Code 11000
Montevideo – URUGUAY
RUT No : 216364950012
magdalena.monzo@rolitrans.com.uy
ines.antunez@rolitrans.com.uy
</t>
  </si>
  <si>
    <t>RUT NO: 217709500014</t>
  </si>
  <si>
    <t>Vietnam</t>
  </si>
  <si>
    <t>VN</t>
  </si>
  <si>
    <t>VNW221 (VN)</t>
  </si>
  <si>
    <t>H&amp;M store Vietnam</t>
  </si>
  <si>
    <t>HoChiMinh</t>
  </si>
  <si>
    <t>H&amp;M Hennes &amp; Mauritz Vietnam Limited Liability Company
Metropolitan Building, No. 235 Dong Khoi street
Sai Gon Ward,
Ho Chi Minh City
Vietnam
Registration No.: 0314014395
Phone No.: +84 251 6262030
DLIMPEX-VN@hm.com</t>
  </si>
  <si>
    <t>MAERSK LOGISTICS &amp; SERVICES VIETNAM COMPANY LIMITED 
Floor 16&amp;17, Commercial - Service - Office building at lot 5.5, 
# 8-10 Mai Chi Tho Street, Thu Thiem Ward, Thu Duc City, 
Ho Chi Minh City, Vietnam
Registration No.: 0313935315
ATTN: Mr. Manh / Mr. Phuoc / Mr. Tuan/ Tel: +842835203831
maerskops.hm@lns.maersk.com</t>
  </si>
  <si>
    <t>Planning Market</t>
  </si>
  <si>
    <t>Column</t>
  </si>
  <si>
    <t>Description of change</t>
  </si>
  <si>
    <t>Date</t>
  </si>
  <si>
    <t>Changed by</t>
  </si>
  <si>
    <t>all</t>
  </si>
  <si>
    <t xml:space="preserve">new planning market added COS wholesale Breuninger </t>
  </si>
  <si>
    <t xml:space="preserve">Maria Heller </t>
  </si>
  <si>
    <t>E, F</t>
  </si>
  <si>
    <t xml:space="preserve">airport and RUC number updated </t>
  </si>
  <si>
    <t xml:space="preserve">F, G </t>
  </si>
  <si>
    <t>Turkey changed to Türkiye</t>
  </si>
  <si>
    <t xml:space="preserve">US </t>
  </si>
  <si>
    <t>US + OU</t>
  </si>
  <si>
    <t>G</t>
  </si>
  <si>
    <t xml:space="preserve">updated email addresses </t>
  </si>
  <si>
    <t>NO</t>
  </si>
  <si>
    <t>F, G</t>
  </si>
  <si>
    <t>update address and notify</t>
  </si>
  <si>
    <t>new warehouse for Online India has been added INW404 (OI)</t>
  </si>
  <si>
    <t xml:space="preserve">DE </t>
  </si>
  <si>
    <t xml:space="preserve">new planing market added Arket Wholesale Mr. Porter </t>
  </si>
  <si>
    <t xml:space="preserve">new planing market added COS Wholesale Australia </t>
  </si>
  <si>
    <t>F+G</t>
  </si>
  <si>
    <t xml:space="preserve">Phone numbers added </t>
  </si>
  <si>
    <t xml:space="preserve">new planing market added &amp;Other Stories Wholesale Australia </t>
  </si>
  <si>
    <t>OU (USW305)</t>
  </si>
  <si>
    <t xml:space="preserve">Re-added USW305 (OU) </t>
  </si>
  <si>
    <t>RU</t>
  </si>
  <si>
    <t xml:space="preserve">removed </t>
  </si>
  <si>
    <t>HK</t>
  </si>
  <si>
    <t>MH</t>
  </si>
  <si>
    <t>Planning market MH-82 has got end season 6-2022</t>
  </si>
  <si>
    <t>new planning market added COS retail Mexico</t>
  </si>
  <si>
    <t>removed CAW044 since Delta WH is closed</t>
  </si>
  <si>
    <t>Julia Detjens</t>
  </si>
  <si>
    <t>new planning market added "FH" Arket Wholesale Mr Porter US</t>
  </si>
  <si>
    <t>OI (INW404)</t>
  </si>
  <si>
    <t>G+H</t>
  </si>
  <si>
    <t>Notify updated due to new customs broker + VAT #</t>
  </si>
  <si>
    <t xml:space="preserve">SE </t>
  </si>
  <si>
    <t>FC</t>
  </si>
  <si>
    <t>new planning market "FC" All in Equestrian EU added</t>
  </si>
  <si>
    <t>new planning market "DR" H&amp;M online Canada added</t>
  </si>
  <si>
    <t>E</t>
  </si>
  <si>
    <t>corrected airport to Stockholm</t>
  </si>
  <si>
    <t>all EU countries + CH</t>
  </si>
  <si>
    <t>F</t>
  </si>
  <si>
    <t xml:space="preserve">EORI # added </t>
  </si>
  <si>
    <t xml:space="preserve">Consignee added for NCG </t>
  </si>
  <si>
    <t>WA, WM, WW</t>
  </si>
  <si>
    <t>C</t>
  </si>
  <si>
    <t>new split added GBD001 + DED002</t>
  </si>
  <si>
    <t>US (USW022)
US (USW304)
OU (USW068)
OU (USW305)</t>
  </si>
  <si>
    <t xml:space="preserve">Notify part updated marked in red </t>
  </si>
  <si>
    <t xml:space="preserve">Origins GT + MX added </t>
  </si>
  <si>
    <t>Maria Heller</t>
  </si>
  <si>
    <t>changed consignee address</t>
  </si>
  <si>
    <t xml:space="preserve">Contact name and entity name of broker changed </t>
  </si>
  <si>
    <t>CA + XC</t>
  </si>
  <si>
    <t xml:space="preserve">Final receiver update </t>
  </si>
  <si>
    <t xml:space="preserve">NH </t>
  </si>
  <si>
    <t xml:space="preserve">air details now updated </t>
  </si>
  <si>
    <t>DX-GBW238</t>
  </si>
  <si>
    <t>new shipment shortcut for PM "DX" to GB (DX/GBW238) added</t>
  </si>
  <si>
    <t xml:space="preserve">EC </t>
  </si>
  <si>
    <t xml:space="preserve">Special instructions and notify address updated </t>
  </si>
  <si>
    <t>DT</t>
  </si>
  <si>
    <t>final receiver code changed to PLW405</t>
  </si>
  <si>
    <t xml:space="preserve">Notify address updated </t>
  </si>
  <si>
    <t>Consignee + Notify updated</t>
  </si>
  <si>
    <t xml:space="preserve">Consignee updated with a new company name </t>
  </si>
  <si>
    <t>Consignee updated with a new company address</t>
  </si>
  <si>
    <t>H</t>
  </si>
  <si>
    <t>Updated tax ID# for new entity</t>
  </si>
  <si>
    <t>updated contact person in notify address</t>
  </si>
  <si>
    <t>updated Geodis contact person</t>
  </si>
  <si>
    <t>SG</t>
  </si>
  <si>
    <t>e-mail addresses updated</t>
  </si>
  <si>
    <t>FT + FY</t>
  </si>
  <si>
    <t>new planning market "FT" + "FY" added</t>
  </si>
  <si>
    <t>BR + EN</t>
  </si>
  <si>
    <t>new planning market "BR" + "EN" added, details + circular letter to follow</t>
  </si>
  <si>
    <t>added new split for PM "OW" (in addition to NL, possible split to PL)</t>
  </si>
  <si>
    <t xml:space="preserve">G </t>
  </si>
  <si>
    <t>new notify due to broker change</t>
  </si>
  <si>
    <t>corrected e-mail address (correct: GrupoHM@browne.cl)</t>
  </si>
  <si>
    <t>ES</t>
  </si>
  <si>
    <t>new planning market "GJ" added</t>
  </si>
  <si>
    <t xml:space="preserve">Notify address + e-mail updated </t>
  </si>
  <si>
    <t>new planning market "WK" added</t>
  </si>
  <si>
    <t xml:space="preserve">F </t>
  </si>
  <si>
    <t>revised consginee address</t>
  </si>
  <si>
    <t>WD + WI</t>
  </si>
  <si>
    <t>new planning market "WD" + "WI" added</t>
  </si>
  <si>
    <t>added new PM / no airfreight until further notice!</t>
  </si>
  <si>
    <t>DE/AT0192</t>
  </si>
  <si>
    <t>WH closed, removed instructions</t>
  </si>
  <si>
    <t>DC</t>
  </si>
  <si>
    <t>PM closed, removed instructions</t>
  </si>
  <si>
    <t>WC</t>
  </si>
  <si>
    <t>changed notify address with immediate effect</t>
  </si>
  <si>
    <t>DE/PL</t>
  </si>
  <si>
    <t>DE/PLW519</t>
  </si>
  <si>
    <t>added new split for PM "DE" to PLW519 / instructions to follow</t>
  </si>
  <si>
    <t>added instructions for DE/PLW519</t>
  </si>
  <si>
    <t>revised consginee address + new notify contact person</t>
  </si>
  <si>
    <t>revised notify party</t>
  </si>
  <si>
    <t>new planning market "JL" added</t>
  </si>
  <si>
    <t>new planning market "JN" added</t>
  </si>
  <si>
    <t>new WH codes added due to WH move</t>
  </si>
  <si>
    <t>added special requirements</t>
  </si>
  <si>
    <t>corrected company name from E Services to Eservices</t>
  </si>
  <si>
    <t>revised HAWB address (office moved to new location)</t>
  </si>
  <si>
    <r>
      <rPr>
        <sz val="11"/>
        <color rgb="FF000000"/>
        <rFont val="Calibri"/>
        <family val="2"/>
        <scheme val="minor"/>
      </rPr>
      <t>corrected number in address from 1369 to now read 136</t>
    </r>
    <r>
      <rPr>
        <b/>
        <sz val="11"/>
        <color rgb="FF000000"/>
        <rFont val="Calibri"/>
        <family val="2"/>
        <scheme val="minor"/>
      </rPr>
      <t>3</t>
    </r>
  </si>
  <si>
    <t>new planning market "DQ" COS online Canada added</t>
  </si>
  <si>
    <t>new planning market "DB" H&amp;M online IX added</t>
  </si>
  <si>
    <t xml:space="preserve">revised notify address for Geodis  (from origin EU, CN, KH, ID, MA, TR) </t>
  </si>
  <si>
    <t>corrected consignee address (mistake in previous address lead to local customs issues)</t>
  </si>
  <si>
    <t>NL</t>
  </si>
  <si>
    <t>HS</t>
  </si>
  <si>
    <t>removed PM "HS" NLW282 due to PM + WH closure</t>
  </si>
  <si>
    <t>OF/NLW174</t>
  </si>
  <si>
    <t>added new split for PM "OF" to NLW174</t>
  </si>
  <si>
    <t>IN, OI</t>
  </si>
  <si>
    <t>added new WH codes for H&amp;M India retail + online / address to follow</t>
  </si>
  <si>
    <t>new planning maket "IF" ARKET wholesale Iconic Australia added</t>
  </si>
  <si>
    <t>new planning market "IA" ARKET wholesale NEXT added</t>
  </si>
  <si>
    <t>BK, JK</t>
  </si>
  <si>
    <t>new planning market added, address to follow</t>
  </si>
  <si>
    <t>BE/ESW038
OF/ESW267</t>
  </si>
  <si>
    <t>revised notify due to broker change</t>
  </si>
  <si>
    <t>OX, OZ, QO, OW</t>
  </si>
  <si>
    <t>added new WH code (split in transition period) for OX, OZ, QO, OW to Poland</t>
  </si>
  <si>
    <t>IN/INW151</t>
  </si>
  <si>
    <t>new planning market "FF" ARKET online Canada added</t>
  </si>
  <si>
    <t>added new WH code HKW559 due to WH move</t>
  </si>
  <si>
    <t>revised final receiver (WH) code from INW537 to INW543</t>
  </si>
  <si>
    <t>notfiy address for NCG shipments corrected</t>
  </si>
  <si>
    <t>F + H</t>
  </si>
  <si>
    <t>company name corrected + VAT no. for OF/ESW267</t>
  </si>
  <si>
    <t>new planning market "IH" ARKET wholesale Breuninger added</t>
  </si>
  <si>
    <t>DX, EW, EZ, QP</t>
  </si>
  <si>
    <t>added new WH code (split in transition period) for DX, EW, EZ, QP to Poland</t>
  </si>
  <si>
    <t>added consignee + notify address</t>
  </si>
  <si>
    <t>revised consignee address</t>
  </si>
  <si>
    <t>revvised notify address</t>
  </si>
  <si>
    <t>DK</t>
  </si>
  <si>
    <t xml:space="preserve">all </t>
  </si>
  <si>
    <t>removed planning market DK due to PM + WH closure</t>
  </si>
  <si>
    <t>WM, OH, EI, WI</t>
  </si>
  <si>
    <t>removed planning market WM, OH, EI + WI due to PM closure</t>
  </si>
  <si>
    <t>YM</t>
  </si>
  <si>
    <t>removed planning market YM due to PM closure</t>
  </si>
  <si>
    <t>EM, MJ</t>
  </si>
  <si>
    <t>removed planning market EM + MJ due to PM closure</t>
  </si>
  <si>
    <t>LO</t>
  </si>
  <si>
    <t>removed planning market LO due to PM closure</t>
  </si>
  <si>
    <t xml:space="preserve">removed planning market HK due to PM closure </t>
  </si>
  <si>
    <t>WA, WW, FT</t>
  </si>
  <si>
    <t>added new future final receiver codes for PM WA, WW + FT</t>
  </si>
  <si>
    <t>removed planning market FC due to PM closure</t>
  </si>
  <si>
    <t>removed e-mail ec.scm@Lns.maersk.com from notify</t>
  </si>
  <si>
    <r>
      <t xml:space="preserve">H&amp;M Hennes &amp; Mauritz Servicios SA DE CV
Montes Urales #745 Piso 5
Lomas De Chapultepec
1era Seccion,  Miguel Hidalgo
CP 11000 Ciudad de Mexico, Mexico
TAX ID: HAM120221P51
DLIMPEX-MX2@hm.com
</t>
    </r>
    <r>
      <rPr>
        <b/>
        <sz val="10"/>
        <color rgb="FF366092"/>
        <rFont val="Calibri"/>
        <family val="2"/>
        <scheme val="minor"/>
      </rPr>
      <t xml:space="preserve">
</t>
    </r>
  </si>
  <si>
    <r>
      <rPr>
        <sz val="9"/>
        <color theme="4" tint="-0.249977111117893"/>
        <rFont val="Calibri"/>
        <family val="2"/>
        <scheme val="minor"/>
      </rPr>
      <t xml:space="preserve">H&amp;M Hennes &amp; Mauritz Colombia S.A.S
NIT 900.924.527-1
Deposito Repremundo Industrial De Servicios S.A.S
Zona Franca Permanente Intexzona Bodega 13 A-B, KM 1
Via Siberia - Funza Cota-Cundinamarca, Colombia COD 2396
DLIMPEX-CO@hm.com
</t>
    </r>
    <r>
      <rPr>
        <b/>
        <sz val="9"/>
        <color theme="4" tint="-0.249977111117893"/>
        <rFont val="Calibri"/>
        <family val="2"/>
        <scheme val="minor"/>
      </rPr>
      <t xml:space="preserve">
</t>
    </r>
  </si>
  <si>
    <t xml:space="preserve">H&amp;M Hennes &amp; Mauritz EC S.A.S. 
RUC Number: 1793145906001
Avenida 12 de Octubre N26-48 y Lincoln. Edificio Mirage, Piso 7
Quito, Ecuador
DLIMPEX-EC@hm.com
Phone number: +593 9971 97008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</si>
</sst>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1"/>
      <color theme="10"/>
      <name val="Calibri"/>
      <family val="2"/>
      <scheme val="minor"/>
    </font>
    <font>
      <sz val="8"/>
      <name val="Arial"/>
      <family val="2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sz val="10"/>
      <color rgb="FF366092"/>
      <name val="Calibri"/>
      <family val="2"/>
      <scheme val="minor"/>
    </font>
    <font>
      <sz val="11"/>
      <color rgb="FF366092"/>
      <name val="Calibri"/>
      <family val="2"/>
      <scheme val="minor"/>
    </font>
    <font>
      <b/>
      <sz val="10"/>
      <color rgb="FF366092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rgb="FF305496"/>
      <name val="Calibri"/>
      <family val="2"/>
      <scheme val="minor"/>
    </font>
    <font>
      <sz val="10"/>
      <color rgb="FF0116AF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0"/>
      <color rgb="FF16365C"/>
      <name val="Calibri"/>
      <family val="2"/>
      <scheme val="minor"/>
    </font>
    <font>
      <sz val="10"/>
      <color rgb="FF305496"/>
      <name val="Calibri"/>
      <family val="2"/>
      <scheme val="minor"/>
    </font>
    <font>
      <b/>
      <sz val="11"/>
      <color rgb="FF366092"/>
      <name val="Calibri"/>
      <family val="2"/>
      <scheme val="minor"/>
    </font>
    <font>
      <sz val="10"/>
      <color rgb="FF1F497D"/>
      <name val="Calibri"/>
      <family val="2"/>
      <scheme val="minor"/>
    </font>
    <font>
      <sz val="10"/>
      <color rgb="FF000000"/>
      <name val="Arial"/>
      <family val="2"/>
    </font>
    <font>
      <sz val="11"/>
      <color theme="4" tint="-0.249977111117893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</font>
    <font>
      <sz val="11"/>
      <color theme="4" tint="-0.249977111117893"/>
      <name val="Calibri"/>
      <family val="2"/>
      <scheme val="minor"/>
    </font>
    <font>
      <sz val="10"/>
      <color rgb="FF366092"/>
      <name val="Calibri"/>
      <family val="2"/>
      <scheme val="minor"/>
    </font>
    <font>
      <sz val="11"/>
      <color rgb="FF366092"/>
      <name val="Calibri"/>
      <family val="2"/>
      <scheme val="minor"/>
    </font>
    <font>
      <sz val="10"/>
      <color rgb="FF366092"/>
      <name val="Calibri"/>
      <family val="1"/>
      <charset val="136"/>
    </font>
    <font>
      <sz val="10"/>
      <color theme="4" tint="-0.249977111117893"/>
      <name val="Calibri"/>
      <family val="2"/>
      <scheme val="minor"/>
    </font>
    <font>
      <sz val="11"/>
      <color rgb="FF305496"/>
      <name val="Calibri"/>
      <family val="2"/>
    </font>
    <font>
      <sz val="10"/>
      <color theme="4" tint="-0.249977111117893"/>
      <name val="Calibri"/>
      <family val="2"/>
    </font>
    <font>
      <b/>
      <sz val="11"/>
      <color rgb="FF000000"/>
      <name val="Calibri"/>
      <family val="2"/>
      <scheme val="minor"/>
    </font>
    <font>
      <b/>
      <sz val="9"/>
      <color theme="4" tint="-0.249977111117893"/>
      <name val="Calibri"/>
      <family val="2"/>
      <scheme val="minor"/>
    </font>
    <font>
      <sz val="9"/>
      <color theme="4" tint="-0.249977111117893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sz val="11"/>
      <color theme="4" tint="-0.249977111117893"/>
      <name val="Calibri"/>
      <family val="2"/>
    </font>
    <font>
      <sz val="11"/>
      <color rgb="FF242424"/>
      <name val="Aptos Narrow"/>
      <family val="2"/>
      <charset val="1"/>
    </font>
    <font>
      <sz val="10"/>
      <color rgb="FF366092"/>
      <name val="Calibri"/>
      <family val="2"/>
    </font>
    <font>
      <sz val="11"/>
      <color rgb="FF366092"/>
      <name val="Calibri"/>
      <family val="2"/>
    </font>
    <font>
      <sz val="11"/>
      <color rgb="FF366092"/>
      <name val="Calibri"/>
      <family val="2"/>
    </font>
    <font>
      <sz val="11"/>
      <color rgb="FF305496"/>
      <name val="Calibri"/>
      <family val="2"/>
      <charset val="1"/>
    </font>
    <font>
      <sz val="11"/>
      <color rgb="FF305496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  <font>
      <sz val="10"/>
      <color theme="4" tint="-0.249977111117893"/>
      <name val="Calibri"/>
      <family val="2"/>
    </font>
    <font>
      <sz val="10"/>
      <color rgb="FF366092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DCE6F1"/>
        <bgColor rgb="FFDCE6F1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/>
      <right/>
      <top style="thin">
        <color rgb="FF95B3D7"/>
      </top>
      <bottom style="thin">
        <color indexed="64"/>
      </bottom>
      <diagonal/>
    </border>
    <border>
      <left/>
      <right style="thin">
        <color rgb="FF95B3D7"/>
      </right>
      <top style="thin">
        <color rgb="FF95B3D7"/>
      </top>
      <bottom style="thin">
        <color indexed="64"/>
      </bottom>
      <diagonal/>
    </border>
    <border>
      <left/>
      <right/>
      <top/>
      <bottom style="thin">
        <color rgb="FF95B3D7"/>
      </bottom>
      <diagonal/>
    </border>
    <border>
      <left style="thin">
        <color rgb="FF95B3D7"/>
      </left>
      <right/>
      <top style="thin">
        <color rgb="FF95B3D7"/>
      </top>
      <bottom style="thin">
        <color rgb="FF95B3D7"/>
      </bottom>
      <diagonal/>
    </border>
    <border>
      <left/>
      <right style="thin">
        <color rgb="FF95B3D7"/>
      </right>
      <top style="thin">
        <color rgb="FF95B3D7"/>
      </top>
      <bottom style="thin">
        <color rgb="FF95B3D7"/>
      </bottom>
      <diagonal/>
    </border>
    <border>
      <left style="thin">
        <color rgb="FF95B3D7"/>
      </left>
      <right/>
      <top style="thin">
        <color rgb="FF95B3D7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95B3D7"/>
      </left>
      <right/>
      <top/>
      <bottom/>
      <diagonal/>
    </border>
    <border>
      <left/>
      <right style="thin">
        <color rgb="FF95B3D7"/>
      </right>
      <top/>
      <bottom/>
      <diagonal/>
    </border>
    <border>
      <left style="thin">
        <color rgb="FF95B3D7"/>
      </left>
      <right/>
      <top/>
      <bottom style="thin">
        <color rgb="FF95B3D7"/>
      </bottom>
      <diagonal/>
    </border>
    <border>
      <left/>
      <right style="thin">
        <color rgb="FF95B3D7"/>
      </right>
      <top/>
      <bottom style="thin">
        <color rgb="FF95B3D7"/>
      </bottom>
      <diagonal/>
    </border>
    <border>
      <left style="thin">
        <color rgb="FF95B3D7"/>
      </left>
      <right/>
      <top/>
      <bottom style="thin">
        <color indexed="64"/>
      </bottom>
      <diagonal/>
    </border>
    <border>
      <left/>
      <right style="thin">
        <color rgb="FF95B3D7"/>
      </right>
      <top/>
      <bottom style="thin">
        <color indexed="64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 style="thin">
        <color rgb="FF95B3D7"/>
      </left>
      <right/>
      <top style="thin">
        <color rgb="FF95B3D7"/>
      </top>
      <bottom style="thin">
        <color rgb="FF000000"/>
      </bottom>
      <diagonal/>
    </border>
    <border>
      <left/>
      <right/>
      <top style="thin">
        <color rgb="FF95B3D7"/>
      </top>
      <bottom style="thin">
        <color rgb="FF000000"/>
      </bottom>
      <diagonal/>
    </border>
  </borders>
  <cellStyleXfs count="47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3" fillId="23" borderId="7" applyNumberFormat="0" applyFont="0" applyAlignment="0" applyProtection="0"/>
    <xf numFmtId="0" fontId="17" fillId="2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1" fillId="0" borderId="0" applyNumberFormat="0" applyFill="0" applyBorder="0" applyAlignment="0" applyProtection="0"/>
    <xf numFmtId="0" fontId="1" fillId="0" borderId="0"/>
  </cellStyleXfs>
  <cellXfs count="161">
    <xf numFmtId="0" fontId="0" fillId="0" borderId="0" xfId="0"/>
    <xf numFmtId="0" fontId="23" fillId="0" borderId="0" xfId="0" applyFont="1"/>
    <xf numFmtId="0" fontId="23" fillId="0" borderId="0" xfId="0" applyFont="1" applyAlignment="1">
      <alignment vertical="top"/>
    </xf>
    <xf numFmtId="0" fontId="24" fillId="0" borderId="0" xfId="0" applyFont="1" applyAlignment="1">
      <alignment wrapText="1"/>
    </xf>
    <xf numFmtId="0" fontId="24" fillId="0" borderId="0" xfId="0" applyFont="1" applyAlignment="1">
      <alignment horizontal="right" wrapText="1"/>
    </xf>
    <xf numFmtId="0" fontId="24" fillId="0" borderId="0" xfId="0" applyFont="1"/>
    <xf numFmtId="0" fontId="25" fillId="0" borderId="0" xfId="0" applyFont="1" applyAlignment="1">
      <alignment horizontal="left" wrapText="1"/>
    </xf>
    <xf numFmtId="14" fontId="24" fillId="0" borderId="0" xfId="0" applyNumberFormat="1" applyFont="1" applyAlignment="1">
      <alignment horizontal="right" vertical="center"/>
    </xf>
    <xf numFmtId="0" fontId="24" fillId="0" borderId="0" xfId="0" applyFont="1" applyAlignment="1">
      <alignment vertical="top" wrapText="1"/>
    </xf>
    <xf numFmtId="0" fontId="24" fillId="0" borderId="0" xfId="0" applyFont="1" applyAlignment="1">
      <alignment vertical="top"/>
    </xf>
    <xf numFmtId="0" fontId="25" fillId="0" borderId="0" xfId="0" applyFont="1" applyAlignment="1">
      <alignment horizontal="left" vertical="top" wrapText="1"/>
    </xf>
    <xf numFmtId="14" fontId="24" fillId="0" borderId="0" xfId="0" applyNumberFormat="1" applyFont="1" applyAlignment="1">
      <alignment horizontal="right" vertical="top"/>
    </xf>
    <xf numFmtId="0" fontId="25" fillId="0" borderId="16" xfId="0" applyFont="1" applyBorder="1"/>
    <xf numFmtId="0" fontId="25" fillId="0" borderId="12" xfId="0" applyFont="1" applyBorder="1"/>
    <xf numFmtId="0" fontId="25" fillId="0" borderId="12" xfId="0" applyFont="1" applyBorder="1" applyAlignment="1">
      <alignment wrapText="1"/>
    </xf>
    <xf numFmtId="0" fontId="24" fillId="0" borderId="0" xfId="0" applyFont="1" applyAlignment="1">
      <alignment horizontal="right"/>
    </xf>
    <xf numFmtId="0" fontId="23" fillId="0" borderId="0" xfId="0" applyFont="1" applyAlignment="1">
      <alignment horizontal="center" wrapText="1"/>
    </xf>
    <xf numFmtId="0" fontId="26" fillId="0" borderId="0" xfId="0" applyFont="1" applyAlignment="1">
      <alignment horizontal="center" vertical="top" wrapText="1"/>
    </xf>
    <xf numFmtId="0" fontId="26" fillId="0" borderId="0" xfId="0" applyFont="1" applyAlignment="1">
      <alignment horizontal="center" wrapText="1"/>
    </xf>
    <xf numFmtId="0" fontId="27" fillId="0" borderId="0" xfId="0" applyFont="1" applyAlignment="1">
      <alignment vertical="top" wrapText="1"/>
    </xf>
    <xf numFmtId="0" fontId="27" fillId="0" borderId="0" xfId="0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9" fillId="0" borderId="0" xfId="0" applyFont="1" applyAlignment="1">
      <alignment horizontal="left" vertical="top" wrapText="1"/>
    </xf>
    <xf numFmtId="0" fontId="28" fillId="0" borderId="0" xfId="0" applyFont="1" applyAlignment="1">
      <alignment horizontal="left" vertical="top"/>
    </xf>
    <xf numFmtId="0" fontId="27" fillId="0" borderId="19" xfId="0" applyFont="1" applyBorder="1" applyAlignment="1">
      <alignment vertical="top" wrapText="1"/>
    </xf>
    <xf numFmtId="0" fontId="27" fillId="0" borderId="19" xfId="0" applyFont="1" applyBorder="1" applyAlignment="1">
      <alignment horizontal="left" vertical="top" wrapText="1"/>
    </xf>
    <xf numFmtId="0" fontId="28" fillId="0" borderId="19" xfId="0" applyFont="1" applyBorder="1" applyAlignment="1">
      <alignment horizontal="left" vertical="top" wrapText="1"/>
    </xf>
    <xf numFmtId="0" fontId="28" fillId="0" borderId="19" xfId="0" applyFont="1" applyBorder="1" applyAlignment="1">
      <alignment horizontal="left" vertical="top"/>
    </xf>
    <xf numFmtId="0" fontId="27" fillId="0" borderId="10" xfId="0" applyFont="1" applyBorder="1" applyAlignment="1">
      <alignment vertical="top" wrapText="1"/>
    </xf>
    <xf numFmtId="0" fontId="27" fillId="0" borderId="10" xfId="0" applyFont="1" applyBorder="1" applyAlignment="1">
      <alignment horizontal="left" vertical="top" wrapText="1"/>
    </xf>
    <xf numFmtId="0" fontId="28" fillId="0" borderId="10" xfId="0" applyFont="1" applyBorder="1" applyAlignment="1">
      <alignment horizontal="left" vertical="top" wrapText="1"/>
    </xf>
    <xf numFmtId="0" fontId="28" fillId="0" borderId="10" xfId="0" applyFont="1" applyBorder="1" applyAlignment="1">
      <alignment horizontal="left" vertical="top"/>
    </xf>
    <xf numFmtId="0" fontId="27" fillId="0" borderId="11" xfId="0" applyFont="1" applyBorder="1" applyAlignment="1">
      <alignment vertical="top" wrapText="1"/>
    </xf>
    <xf numFmtId="0" fontId="27" fillId="0" borderId="11" xfId="0" applyFont="1" applyBorder="1" applyAlignment="1">
      <alignment horizontal="left" vertical="top" wrapText="1"/>
    </xf>
    <xf numFmtId="0" fontId="28" fillId="0" borderId="11" xfId="0" applyFont="1" applyBorder="1" applyAlignment="1">
      <alignment horizontal="left" vertical="top" wrapText="1"/>
    </xf>
    <xf numFmtId="0" fontId="28" fillId="0" borderId="11" xfId="0" applyFont="1" applyBorder="1" applyAlignment="1">
      <alignment horizontal="left" vertical="top"/>
    </xf>
    <xf numFmtId="0" fontId="30" fillId="0" borderId="16" xfId="0" applyFont="1" applyBorder="1" applyAlignment="1">
      <alignment vertical="top" wrapText="1"/>
    </xf>
    <xf numFmtId="0" fontId="30" fillId="0" borderId="12" xfId="0" applyFont="1" applyBorder="1" applyAlignment="1">
      <alignment vertical="top" wrapText="1"/>
    </xf>
    <xf numFmtId="0" fontId="28" fillId="0" borderId="12" xfId="0" applyFont="1" applyBorder="1" applyAlignment="1">
      <alignment vertical="top" wrapText="1"/>
    </xf>
    <xf numFmtId="0" fontId="29" fillId="0" borderId="12" xfId="0" applyFont="1" applyBorder="1" applyAlignment="1">
      <alignment vertical="top"/>
    </xf>
    <xf numFmtId="0" fontId="29" fillId="0" borderId="17" xfId="0" applyFont="1" applyBorder="1" applyAlignment="1">
      <alignment vertical="top"/>
    </xf>
    <xf numFmtId="1" fontId="28" fillId="0" borderId="0" xfId="0" applyNumberFormat="1" applyFont="1" applyAlignment="1">
      <alignment horizontal="left" vertical="top"/>
    </xf>
    <xf numFmtId="0" fontId="30" fillId="0" borderId="15" xfId="0" applyFont="1" applyBorder="1" applyAlignment="1">
      <alignment vertical="top" wrapText="1"/>
    </xf>
    <xf numFmtId="0" fontId="30" fillId="0" borderId="11" xfId="0" applyFont="1" applyBorder="1" applyAlignment="1">
      <alignment vertical="top" wrapText="1"/>
    </xf>
    <xf numFmtId="0" fontId="29" fillId="0" borderId="11" xfId="0" applyFont="1" applyBorder="1" applyAlignment="1">
      <alignment vertical="top" wrapText="1"/>
    </xf>
    <xf numFmtId="0" fontId="23" fillId="0" borderId="10" xfId="0" applyFont="1" applyBorder="1"/>
    <xf numFmtId="0" fontId="27" fillId="0" borderId="20" xfId="0" applyFont="1" applyBorder="1" applyAlignment="1">
      <alignment vertical="top" wrapText="1"/>
    </xf>
    <xf numFmtId="0" fontId="28" fillId="0" borderId="21" xfId="0" applyFont="1" applyBorder="1" applyAlignment="1">
      <alignment horizontal="left" vertical="top"/>
    </xf>
    <xf numFmtId="0" fontId="30" fillId="0" borderId="0" xfId="0" applyFont="1" applyAlignment="1">
      <alignment vertical="top" wrapText="1"/>
    </xf>
    <xf numFmtId="0" fontId="29" fillId="0" borderId="0" xfId="0" applyFont="1" applyAlignment="1">
      <alignment vertical="top" wrapText="1"/>
    </xf>
    <xf numFmtId="0" fontId="29" fillId="0" borderId="0" xfId="0" applyFont="1" applyAlignment="1">
      <alignment vertical="top"/>
    </xf>
    <xf numFmtId="0" fontId="34" fillId="0" borderId="0" xfId="0" applyFont="1"/>
    <xf numFmtId="0" fontId="30" fillId="0" borderId="16" xfId="0" applyFont="1" applyBorder="1" applyAlignment="1">
      <alignment wrapText="1"/>
    </xf>
    <xf numFmtId="0" fontId="30" fillId="0" borderId="12" xfId="0" applyFont="1" applyBorder="1" applyAlignment="1">
      <alignment wrapText="1"/>
    </xf>
    <xf numFmtId="0" fontId="29" fillId="0" borderId="12" xfId="0" applyFont="1" applyBorder="1" applyAlignment="1">
      <alignment wrapText="1"/>
    </xf>
    <xf numFmtId="0" fontId="29" fillId="0" borderId="12" xfId="0" applyFont="1" applyBorder="1"/>
    <xf numFmtId="0" fontId="29" fillId="0" borderId="17" xfId="0" applyFont="1" applyBorder="1"/>
    <xf numFmtId="0" fontId="30" fillId="0" borderId="0" xfId="0" applyFont="1" applyAlignment="1">
      <alignment wrapText="1"/>
    </xf>
    <xf numFmtId="0" fontId="27" fillId="0" borderId="22" xfId="0" applyFont="1" applyBorder="1" applyAlignment="1">
      <alignment vertical="top" wrapText="1"/>
    </xf>
    <xf numFmtId="0" fontId="27" fillId="0" borderId="15" xfId="0" applyFont="1" applyBorder="1" applyAlignment="1">
      <alignment vertical="top" wrapText="1"/>
    </xf>
    <xf numFmtId="0" fontId="27" fillId="0" borderId="15" xfId="0" applyFont="1" applyBorder="1" applyAlignment="1">
      <alignment horizontal="left" vertical="top" wrapText="1"/>
    </xf>
    <xf numFmtId="0" fontId="28" fillId="0" borderId="15" xfId="0" applyFont="1" applyBorder="1" applyAlignment="1">
      <alignment horizontal="left" vertical="top" wrapText="1"/>
    </xf>
    <xf numFmtId="0" fontId="28" fillId="0" borderId="15" xfId="0" applyFont="1" applyBorder="1" applyAlignment="1">
      <alignment horizontal="left" vertical="top"/>
    </xf>
    <xf numFmtId="0" fontId="28" fillId="0" borderId="23" xfId="0" applyFont="1" applyBorder="1" applyAlignment="1">
      <alignment horizontal="left" vertical="top"/>
    </xf>
    <xf numFmtId="0" fontId="27" fillId="0" borderId="18" xfId="0" applyFont="1" applyBorder="1" applyAlignment="1">
      <alignment vertical="top" wrapText="1"/>
    </xf>
    <xf numFmtId="0" fontId="27" fillId="0" borderId="13" xfId="0" applyFont="1" applyBorder="1" applyAlignment="1">
      <alignment vertical="top" wrapText="1"/>
    </xf>
    <xf numFmtId="0" fontId="27" fillId="0" borderId="13" xfId="0" applyFont="1" applyBorder="1" applyAlignment="1">
      <alignment horizontal="left" vertical="top" wrapText="1"/>
    </xf>
    <xf numFmtId="0" fontId="28" fillId="0" borderId="13" xfId="0" applyFont="1" applyBorder="1" applyAlignment="1">
      <alignment horizontal="left" vertical="top" wrapText="1"/>
    </xf>
    <xf numFmtId="0" fontId="28" fillId="0" borderId="13" xfId="0" applyFont="1" applyBorder="1" applyAlignment="1">
      <alignment horizontal="left" vertical="top"/>
    </xf>
    <xf numFmtId="0" fontId="28" fillId="0" borderId="14" xfId="0" applyFont="1" applyBorder="1" applyAlignment="1">
      <alignment horizontal="left" vertical="top"/>
    </xf>
    <xf numFmtId="0" fontId="30" fillId="0" borderId="10" xfId="0" applyFont="1" applyBorder="1" applyAlignment="1">
      <alignment vertical="top" wrapText="1"/>
    </xf>
    <xf numFmtId="0" fontId="29" fillId="0" borderId="10" xfId="0" applyFont="1" applyBorder="1" applyAlignment="1">
      <alignment vertical="top"/>
    </xf>
    <xf numFmtId="0" fontId="27" fillId="0" borderId="10" xfId="42" applyFont="1" applyBorder="1" applyAlignment="1">
      <alignment vertical="top" wrapText="1"/>
    </xf>
    <xf numFmtId="0" fontId="27" fillId="0" borderId="24" xfId="0" applyFont="1" applyBorder="1" applyAlignment="1">
      <alignment vertical="top" wrapText="1"/>
    </xf>
    <xf numFmtId="0" fontId="28" fillId="0" borderId="25" xfId="0" applyFont="1" applyBorder="1" applyAlignment="1">
      <alignment horizontal="left" vertical="top"/>
    </xf>
    <xf numFmtId="0" fontId="39" fillId="0" borderId="12" xfId="0" applyFont="1" applyBorder="1" applyAlignment="1">
      <alignment vertical="top" wrapText="1"/>
    </xf>
    <xf numFmtId="0" fontId="27" fillId="0" borderId="12" xfId="0" applyFont="1" applyBorder="1" applyAlignment="1">
      <alignment vertical="top" wrapText="1"/>
    </xf>
    <xf numFmtId="0" fontId="27" fillId="0" borderId="12" xfId="0" applyFont="1" applyBorder="1" applyAlignment="1">
      <alignment horizontal="left" vertical="top" wrapText="1"/>
    </xf>
    <xf numFmtId="0" fontId="28" fillId="0" borderId="13" xfId="0" applyFont="1" applyBorder="1" applyAlignment="1">
      <alignment vertical="top" wrapText="1"/>
    </xf>
    <xf numFmtId="0" fontId="39" fillId="0" borderId="13" xfId="0" applyFont="1" applyBorder="1" applyAlignment="1">
      <alignment vertical="top" wrapText="1"/>
    </xf>
    <xf numFmtId="0" fontId="29" fillId="0" borderId="14" xfId="0" applyFont="1" applyBorder="1"/>
    <xf numFmtId="0" fontId="23" fillId="0" borderId="0" xfId="0" applyFont="1" applyAlignment="1">
      <alignment horizontal="center"/>
    </xf>
    <xf numFmtId="0" fontId="40" fillId="24" borderId="16" xfId="0" applyFont="1" applyFill="1" applyBorder="1"/>
    <xf numFmtId="0" fontId="40" fillId="24" borderId="12" xfId="0" applyFont="1" applyFill="1" applyBorder="1"/>
    <xf numFmtId="0" fontId="40" fillId="24" borderId="17" xfId="0" applyFont="1" applyFill="1" applyBorder="1"/>
    <xf numFmtId="0" fontId="33" fillId="0" borderId="26" xfId="0" applyFont="1" applyBorder="1" applyAlignment="1">
      <alignment vertical="top" wrapText="1"/>
    </xf>
    <xf numFmtId="0" fontId="33" fillId="0" borderId="26" xfId="0" applyFont="1" applyBorder="1" applyAlignment="1">
      <alignment wrapText="1"/>
    </xf>
    <xf numFmtId="0" fontId="28" fillId="0" borderId="12" xfId="0" applyFont="1" applyBorder="1"/>
    <xf numFmtId="0" fontId="28" fillId="0" borderId="17" xfId="0" applyFont="1" applyBorder="1"/>
    <xf numFmtId="0" fontId="40" fillId="24" borderId="12" xfId="0" applyFont="1" applyFill="1" applyBorder="1" applyAlignment="1">
      <alignment wrapText="1"/>
    </xf>
    <xf numFmtId="0" fontId="41" fillId="0" borderId="0" xfId="0" applyFont="1" applyAlignment="1">
      <alignment horizontal="left" vertical="top" wrapText="1"/>
    </xf>
    <xf numFmtId="0" fontId="41" fillId="0" borderId="19" xfId="0" applyFont="1" applyBorder="1" applyAlignment="1">
      <alignment horizontal="left" vertical="top" wrapText="1"/>
    </xf>
    <xf numFmtId="0" fontId="42" fillId="0" borderId="0" xfId="0" applyFont="1"/>
    <xf numFmtId="0" fontId="43" fillId="0" borderId="0" xfId="0" applyFont="1" applyAlignment="1">
      <alignment horizontal="left" wrapText="1"/>
    </xf>
    <xf numFmtId="14" fontId="42" fillId="0" borderId="0" xfId="0" applyNumberFormat="1" applyFont="1" applyAlignment="1">
      <alignment horizontal="right" vertical="center"/>
    </xf>
    <xf numFmtId="0" fontId="44" fillId="24" borderId="12" xfId="0" applyFont="1" applyFill="1" applyBorder="1" applyAlignment="1">
      <alignment wrapText="1"/>
    </xf>
    <xf numFmtId="0" fontId="41" fillId="0" borderId="11" xfId="0" applyFont="1" applyBorder="1" applyAlignment="1">
      <alignment wrapText="1"/>
    </xf>
    <xf numFmtId="0" fontId="29" fillId="0" borderId="12" xfId="0" applyFont="1" applyBorder="1" applyAlignment="1">
      <alignment horizontal="left"/>
    </xf>
    <xf numFmtId="0" fontId="48" fillId="0" borderId="12" xfId="0" applyFont="1" applyBorder="1" applyAlignment="1">
      <alignment vertical="top" wrapText="1"/>
    </xf>
    <xf numFmtId="0" fontId="49" fillId="0" borderId="0" xfId="0" applyFont="1" applyAlignment="1">
      <alignment horizontal="left" vertical="top" wrapText="1"/>
    </xf>
    <xf numFmtId="0" fontId="45" fillId="0" borderId="19" xfId="0" applyFont="1" applyBorder="1" applyAlignment="1">
      <alignment vertical="top" wrapText="1"/>
    </xf>
    <xf numFmtId="0" fontId="30" fillId="0" borderId="22" xfId="0" applyFont="1" applyBorder="1" applyAlignment="1">
      <alignment vertical="top" wrapText="1"/>
    </xf>
    <xf numFmtId="0" fontId="29" fillId="0" borderId="15" xfId="0" applyFont="1" applyBorder="1" applyAlignment="1">
      <alignment vertical="top" wrapText="1"/>
    </xf>
    <xf numFmtId="0" fontId="29" fillId="0" borderId="23" xfId="0" applyFont="1" applyBorder="1" applyAlignment="1">
      <alignment vertical="top"/>
    </xf>
    <xf numFmtId="0" fontId="45" fillId="0" borderId="0" xfId="0" applyFont="1" applyAlignment="1">
      <alignment vertical="top" wrapText="1"/>
    </xf>
    <xf numFmtId="0" fontId="50" fillId="0" borderId="19" xfId="0" applyFont="1" applyBorder="1" applyAlignment="1">
      <alignment wrapText="1"/>
    </xf>
    <xf numFmtId="0" fontId="45" fillId="0" borderId="19" xfId="0" applyFont="1" applyBorder="1" applyAlignment="1">
      <alignment horizontal="left" vertical="top" wrapText="1"/>
    </xf>
    <xf numFmtId="0" fontId="49" fillId="0" borderId="19" xfId="0" applyFont="1" applyBorder="1" applyAlignment="1">
      <alignment horizontal="left" vertical="top" wrapText="1"/>
    </xf>
    <xf numFmtId="0" fontId="47" fillId="0" borderId="0" xfId="0" applyFont="1" applyAlignment="1">
      <alignment wrapText="1"/>
    </xf>
    <xf numFmtId="0" fontId="45" fillId="0" borderId="0" xfId="0" applyFont="1" applyAlignment="1">
      <alignment horizontal="left" vertical="top" wrapText="1"/>
    </xf>
    <xf numFmtId="0" fontId="49" fillId="0" borderId="0" xfId="0" applyFont="1" applyAlignment="1">
      <alignment horizontal="left" vertical="top"/>
    </xf>
    <xf numFmtId="0" fontId="49" fillId="0" borderId="11" xfId="0" applyFont="1" applyBorder="1" applyAlignment="1">
      <alignment horizontal="left" vertical="top" wrapText="1"/>
    </xf>
    <xf numFmtId="0" fontId="51" fillId="0" borderId="11" xfId="0" applyFont="1" applyBorder="1" applyAlignment="1">
      <alignment vertical="top" wrapText="1"/>
    </xf>
    <xf numFmtId="0" fontId="53" fillId="0" borderId="12" xfId="0" applyFont="1" applyBorder="1" applyAlignment="1">
      <alignment vertical="top" wrapText="1"/>
    </xf>
    <xf numFmtId="0" fontId="45" fillId="0" borderId="10" xfId="0" applyFont="1" applyBorder="1" applyAlignment="1">
      <alignment vertical="top" wrapText="1"/>
    </xf>
    <xf numFmtId="0" fontId="49" fillId="0" borderId="19" xfId="0" applyFont="1" applyBorder="1" applyAlignment="1">
      <alignment horizontal="left" vertical="top"/>
    </xf>
    <xf numFmtId="0" fontId="55" fillId="0" borderId="16" xfId="0" applyFont="1" applyBorder="1" applyAlignment="1">
      <alignment wrapText="1"/>
    </xf>
    <xf numFmtId="0" fontId="55" fillId="0" borderId="12" xfId="0" applyFont="1" applyBorder="1" applyAlignment="1">
      <alignment wrapText="1"/>
    </xf>
    <xf numFmtId="0" fontId="56" fillId="0" borderId="12" xfId="0" applyFont="1" applyBorder="1"/>
    <xf numFmtId="0" fontId="55" fillId="0" borderId="17" xfId="0" applyFont="1" applyBorder="1" applyAlignment="1">
      <alignment wrapText="1"/>
    </xf>
    <xf numFmtId="0" fontId="57" fillId="0" borderId="12" xfId="0" applyFont="1" applyBorder="1" applyAlignment="1">
      <alignment wrapText="1"/>
    </xf>
    <xf numFmtId="0" fontId="58" fillId="0" borderId="0" xfId="0" applyFont="1"/>
    <xf numFmtId="0" fontId="59" fillId="0" borderId="12" xfId="0" applyFont="1" applyBorder="1" applyAlignment="1">
      <alignment vertical="top" wrapText="1"/>
    </xf>
    <xf numFmtId="0" fontId="55" fillId="24" borderId="16" xfId="0" applyFont="1" applyFill="1" applyBorder="1" applyAlignment="1">
      <alignment wrapText="1"/>
    </xf>
    <xf numFmtId="0" fontId="55" fillId="24" borderId="12" xfId="0" applyFont="1" applyFill="1" applyBorder="1" applyAlignment="1">
      <alignment wrapText="1"/>
    </xf>
    <xf numFmtId="3" fontId="55" fillId="24" borderId="12" xfId="0" applyNumberFormat="1" applyFont="1" applyFill="1" applyBorder="1" applyAlignment="1">
      <alignment wrapText="1"/>
    </xf>
    <xf numFmtId="0" fontId="55" fillId="24" borderId="17" xfId="0" applyFont="1" applyFill="1" applyBorder="1" applyAlignment="1">
      <alignment wrapText="1"/>
    </xf>
    <xf numFmtId="3" fontId="55" fillId="0" borderId="12" xfId="0" applyNumberFormat="1" applyFont="1" applyBorder="1" applyAlignment="1">
      <alignment wrapText="1"/>
    </xf>
    <xf numFmtId="0" fontId="42" fillId="0" borderId="0" xfId="0" applyFont="1" applyAlignment="1">
      <alignment vertical="top"/>
    </xf>
    <xf numFmtId="0" fontId="42" fillId="0" borderId="0" xfId="0" applyFont="1" applyAlignment="1">
      <alignment vertical="top" wrapText="1"/>
    </xf>
    <xf numFmtId="0" fontId="43" fillId="0" borderId="0" xfId="0" applyFont="1" applyAlignment="1">
      <alignment horizontal="left" vertical="top" wrapText="1"/>
    </xf>
    <xf numFmtId="14" fontId="42" fillId="0" borderId="0" xfId="0" applyNumberFormat="1" applyFont="1" applyAlignment="1">
      <alignment horizontal="right" vertical="top"/>
    </xf>
    <xf numFmtId="0" fontId="47" fillId="0" borderId="0" xfId="0" applyFont="1" applyAlignment="1">
      <alignment vertical="top" wrapText="1"/>
    </xf>
    <xf numFmtId="0" fontId="50" fillId="0" borderId="26" xfId="0" applyFont="1" applyBorder="1" applyAlignment="1">
      <alignment vertical="top" wrapText="1"/>
    </xf>
    <xf numFmtId="0" fontId="57" fillId="0" borderId="26" xfId="0" applyFont="1" applyBorder="1" applyAlignment="1">
      <alignment wrapText="1"/>
    </xf>
    <xf numFmtId="0" fontId="60" fillId="0" borderId="16" xfId="0" applyFont="1" applyBorder="1" applyAlignment="1">
      <alignment wrapText="1"/>
    </xf>
    <xf numFmtId="0" fontId="60" fillId="0" borderId="12" xfId="0" applyFont="1" applyBorder="1" applyAlignment="1">
      <alignment wrapText="1"/>
    </xf>
    <xf numFmtId="0" fontId="61" fillId="0" borderId="12" xfId="0" applyFont="1" applyBorder="1" applyAlignment="1">
      <alignment wrapText="1"/>
    </xf>
    <xf numFmtId="0" fontId="60" fillId="0" borderId="27" xfId="0" applyFont="1" applyBorder="1" applyAlignment="1">
      <alignment wrapText="1"/>
    </xf>
    <xf numFmtId="0" fontId="60" fillId="0" borderId="28" xfId="0" applyFont="1" applyBorder="1" applyAlignment="1">
      <alignment wrapText="1"/>
    </xf>
    <xf numFmtId="0" fontId="46" fillId="0" borderId="0" xfId="0" applyFont="1" applyAlignment="1">
      <alignment horizontal="left" vertical="top" wrapText="1"/>
    </xf>
    <xf numFmtId="0" fontId="47" fillId="0" borderId="0" xfId="0" applyFont="1" applyAlignment="1">
      <alignment horizontal="left" vertical="top" wrapText="1"/>
    </xf>
    <xf numFmtId="0" fontId="42" fillId="0" borderId="0" xfId="0" applyFont="1" applyAlignment="1">
      <alignment wrapText="1"/>
    </xf>
    <xf numFmtId="0" fontId="62" fillId="0" borderId="0" xfId="0" applyFont="1"/>
    <xf numFmtId="0" fontId="50" fillId="0" borderId="26" xfId="0" applyFont="1" applyBorder="1" applyAlignment="1">
      <alignment wrapText="1"/>
    </xf>
    <xf numFmtId="0" fontId="45" fillId="0" borderId="26" xfId="0" applyFont="1" applyBorder="1" applyAlignment="1">
      <alignment vertical="top" wrapText="1"/>
    </xf>
    <xf numFmtId="0" fontId="63" fillId="0" borderId="26" xfId="0" applyFont="1" applyBorder="1" applyAlignment="1">
      <alignment vertical="top" wrapText="1"/>
    </xf>
    <xf numFmtId="0" fontId="55" fillId="0" borderId="0" xfId="0" applyFont="1" applyAlignment="1">
      <alignment wrapText="1"/>
    </xf>
    <xf numFmtId="0" fontId="64" fillId="0" borderId="12" xfId="0" applyFont="1" applyBorder="1" applyAlignment="1">
      <alignment vertical="top" wrapText="1"/>
    </xf>
    <xf numFmtId="14" fontId="42" fillId="0" borderId="0" xfId="0" applyNumberFormat="1" applyFont="1" applyAlignment="1">
      <alignment horizontal="left" vertical="top"/>
    </xf>
    <xf numFmtId="0" fontId="42" fillId="0" borderId="0" xfId="0" applyFont="1" applyAlignment="1">
      <alignment horizontal="left" vertical="top"/>
    </xf>
    <xf numFmtId="0" fontId="50" fillId="0" borderId="0" xfId="0" applyFont="1" applyAlignment="1">
      <alignment wrapText="1"/>
    </xf>
    <xf numFmtId="0" fontId="49" fillId="0" borderId="0" xfId="0" applyFont="1" applyAlignment="1">
      <alignment vertical="top" wrapText="1"/>
    </xf>
    <xf numFmtId="0" fontId="28" fillId="0" borderId="0" xfId="0" applyFont="1" applyAlignment="1">
      <alignment vertical="top"/>
    </xf>
    <xf numFmtId="0" fontId="49" fillId="0" borderId="10" xfId="0" applyFont="1" applyBorder="1" applyAlignment="1">
      <alignment vertical="top" wrapText="1"/>
    </xf>
    <xf numFmtId="0" fontId="65" fillId="0" borderId="12" xfId="0" applyFont="1" applyBorder="1" applyAlignment="1">
      <alignment vertical="top"/>
    </xf>
    <xf numFmtId="0" fontId="30" fillId="0" borderId="18" xfId="0" applyFont="1" applyBorder="1" applyAlignment="1">
      <alignment vertical="top" wrapText="1"/>
    </xf>
    <xf numFmtId="0" fontId="30" fillId="0" borderId="13" xfId="0" applyFont="1" applyBorder="1" applyAlignment="1">
      <alignment vertical="top" wrapText="1"/>
    </xf>
    <xf numFmtId="0" fontId="66" fillId="0" borderId="12" xfId="0" applyFont="1" applyBorder="1" applyAlignment="1">
      <alignment vertical="top" wrapText="1"/>
    </xf>
    <xf numFmtId="14" fontId="55" fillId="0" borderId="12" xfId="0" applyNumberFormat="1" applyFont="1" applyBorder="1" applyAlignment="1">
      <alignment wrapText="1"/>
    </xf>
    <xf numFmtId="0" fontId="42" fillId="0" borderId="0" xfId="0" applyFont="1" applyAlignment="1">
      <alignment horizontal="right" vertical="center"/>
    </xf>
  </cellXfs>
  <cellStyles count="47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 4" xfId="45" xr:uid="{D7953FB8-CE9D-4F9F-B515-98CAB51E5784}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 xr:uid="{00000000-0005-0000-0000-000026000000}"/>
    <cellStyle name="Normal 3" xfId="43" xr:uid="{00000000-0005-0000-0000-000027000000}"/>
    <cellStyle name="Normal 6" xfId="44" xr:uid="{E3DF047F-6635-458D-8ED4-EE4E18AE541B}"/>
    <cellStyle name="Normal 6 2" xfId="46" xr:uid="{3EF94B84-B82C-4DE7-9BEE-47A1C0E8243D}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19">
    <dxf>
      <font>
        <sz val="1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dd/mm/yyyy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sz val="11"/>
        <name val="Calibri"/>
        <scheme val="minor"/>
      </font>
    </dxf>
    <dxf>
      <font>
        <sz val="11"/>
        <name val="Calibri"/>
        <scheme val="minor"/>
      </font>
    </dxf>
    <dxf>
      <font>
        <sz val="11"/>
        <name val="Calibri"/>
        <scheme val="minor"/>
      </font>
    </dxf>
    <dxf>
      <font>
        <sz val="11"/>
        <name val="Calibri"/>
        <scheme val="minor"/>
      </font>
    </dxf>
    <dxf>
      <font>
        <sz val="11"/>
        <name val="Calibri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4" tint="-0.249977111117893"/>
        <name val="Calibri"/>
        <scheme val="minor"/>
      </font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color theme="4" tint="-0.249977111117893"/>
        <name val="Calibri"/>
        <scheme val="minor"/>
      </font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color theme="4" tint="-0.249977111117893"/>
        <name val="Calibri"/>
        <scheme val="minor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4" tint="-0.249977111117893"/>
        <name val="Calibri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alignment horizontal="left" vertical="top" textRotation="0" wrapText="1" indent="0" justifyLastLine="0" shrinkToFit="0" readingOrder="0"/>
    </dxf>
    <dxf>
      <font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alignment horizontal="general" vertical="top" textRotation="0" wrapText="1" indent="0" justifyLastLine="0" shrinkToFit="0" readingOrder="0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0116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AF653B-9448-4EB1-BFCD-7B25755D490C}" name="Table3" displayName="Table3" ref="A1:I159" totalsRowShown="0" headerRowDxfId="18" dataDxfId="17">
  <autoFilter ref="A1:I159" xr:uid="{32035B2F-BE24-4D34-AE06-965C3DC5DF12}"/>
  <sortState xmlns:xlrd2="http://schemas.microsoft.com/office/spreadsheetml/2017/richdata2" ref="A2:I159">
    <sortCondition ref="A1:A159"/>
  </sortState>
  <tableColumns count="9">
    <tableColumn id="1" xr3:uid="{B010EA69-4D2E-4786-8431-1E1DCE4B02F9}" name="Destination Country" dataDxfId="16"/>
    <tableColumn id="2" xr3:uid="{7FE1666C-794B-4C9F-B504-6CCE6F2922B7}" name="Planning Market Code" dataDxfId="15"/>
    <tableColumn id="18" xr3:uid="{6F7F7C83-AFF0-4B57-9D46-C3BEE477EED5}" name="Final Receiver" dataDxfId="14"/>
    <tableColumn id="3" xr3:uid="{31612086-9A7C-482D-80E0-997059E1D376}" name="Planning Market Name" dataDxfId="13"/>
    <tableColumn id="4" xr3:uid="{0D8E2B24-4EFB-4190-84B0-2C17667DAC4F}" name="Airport" dataDxfId="12"/>
    <tableColumn id="5" xr3:uid="{0CA8CAD8-3609-4AF4-A379-6BEF0933CB98}" name="HAWB Consignee " dataDxfId="11"/>
    <tableColumn id="6" xr3:uid="{B4C33F12-A9FD-4073-A523-00B6698A7177}" name="Notify to" dataDxfId="10"/>
    <tableColumn id="8" xr3:uid="{F6234078-066B-46BE-8370-D6E184C5205D}" name="VAT / GST / Company registration" dataDxfId="9"/>
    <tableColumn id="9" xr3:uid="{8692BEB0-2D4D-466A-9B6B-227BAE66EC58}" name="Type of company code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81E9AD-0E43-4E59-A0B6-786338D4353A}" name="Table2" displayName="Table2" ref="A1:F111" totalsRowShown="0" headerRowDxfId="7" dataDxfId="6">
  <autoFilter ref="A1:F111" xr:uid="{6DC7B841-373C-4AE0-ACCA-B31152FC0D17}"/>
  <tableColumns count="6">
    <tableColumn id="2" xr3:uid="{F36FCE85-F99C-4E11-B9A9-F6A1B626F595}" name="Destination Country" dataDxfId="5"/>
    <tableColumn id="3" xr3:uid="{BB3F5953-78F4-4B4A-AC58-336B7E28D153}" name="Planning Market" dataDxfId="4"/>
    <tableColumn id="4" xr3:uid="{03013C31-FA69-407B-93C7-FD8E0694EF5A}" name="Column" dataDxfId="3"/>
    <tableColumn id="5" xr3:uid="{9EDCA262-8A20-40C5-9A44-B1C2144E453F}" name="Description of change" dataDxfId="2"/>
    <tableColumn id="6" xr3:uid="{BF00B780-41CE-40DF-922E-0D1299EB7BD3}" name="Date" dataDxfId="1"/>
    <tableColumn id="7" xr3:uid="{DA7F6729-CBB3-4597-88CA-79550C43357B}" name="Changed b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83203125" defaultRowHeight="13" x14ac:dyDescent="0.15"/>
  <sheetData/>
  <customSheetViews>
    <customSheetView guid="{9DF0F1AC-29D6-4775-BB92-5A0A848E73BE}" state="hidden">
      <pageMargins left="0" right="0" top="0" bottom="0" header="0" footer="0"/>
    </customSheetView>
    <customSheetView guid="{4DB146E9-9F11-444C-9829-D0B438956583}">
      <pageMargins left="0" right="0" top="0" bottom="0" header="0" footer="0"/>
    </customSheetView>
    <customSheetView guid="{5FCBCF93-3DB4-492D-B310-ACD4832E7520}">
      <pageMargins left="0" right="0" top="0" bottom="0" header="0" footer="0"/>
    </customSheetView>
    <customSheetView guid="{866606FD-F047-48D4-9923-C6F218BECFCE}">
      <pageMargins left="0" right="0" top="0" bottom="0" header="0" footer="0"/>
    </customSheetView>
  </customSheetView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3" x14ac:dyDescent="0.15"/>
  <sheetData/>
  <customSheetViews>
    <customSheetView guid="{9DF0F1AC-29D6-4775-BB92-5A0A848E73BE}" state="hidden">
      <pageMargins left="0" right="0" top="0" bottom="0" header="0" footer="0"/>
    </customSheetView>
    <customSheetView guid="{4DB146E9-9F11-444C-9829-D0B438956583}" state="hidden">
      <pageMargins left="0" right="0" top="0" bottom="0" header="0" footer="0"/>
    </customSheetView>
    <customSheetView guid="{5FCBCF93-3DB4-492D-B310-ACD4832E7520}" state="hidden">
      <pageMargins left="0" right="0" top="0" bottom="0" header="0" footer="0"/>
    </customSheetView>
    <customSheetView guid="{866606FD-F047-48D4-9923-C6F218BECFCE}" state="hidden">
      <pageMargins left="0" right="0" top="0" bottom="0" header="0" footer="0"/>
    </customSheetView>
  </customSheetView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571D3-1CF6-46FB-898B-04F600219E58}">
  <dimension ref="A1:I159"/>
  <sheetViews>
    <sheetView tabSelected="1" zoomScale="90" zoomScaleNormal="90" workbookViewId="0">
      <pane ySplit="1" topLeftCell="A91" activePane="bottomLeft" state="frozen"/>
      <selection pane="bottomLeft" activeCell="F113" sqref="F113"/>
    </sheetView>
  </sheetViews>
  <sheetFormatPr baseColWidth="10" defaultColWidth="9.1640625" defaultRowHeight="14" x14ac:dyDescent="0.2"/>
  <cols>
    <col min="1" max="1" width="23.83203125" style="1" bestFit="1" customWidth="1"/>
    <col min="2" max="2" width="14.6640625" style="1" bestFit="1" customWidth="1"/>
    <col min="3" max="3" width="20.1640625" style="1" customWidth="1"/>
    <col min="4" max="4" width="42.5" style="1" customWidth="1"/>
    <col min="5" max="5" width="17.5" style="81" customWidth="1"/>
    <col min="6" max="6" width="40.1640625" style="23" customWidth="1"/>
    <col min="7" max="7" width="36.83203125" style="23" customWidth="1"/>
    <col min="8" max="8" width="26.1640625" style="23" customWidth="1"/>
    <col min="9" max="9" width="34.5" style="23" bestFit="1" customWidth="1"/>
    <col min="10" max="16384" width="9.1640625" style="1"/>
  </cols>
  <sheetData>
    <row r="1" spans="1:9" ht="30" x14ac:dyDescent="0.2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8" t="s">
        <v>7</v>
      </c>
      <c r="I1" s="18" t="s">
        <v>8</v>
      </c>
    </row>
    <row r="2" spans="1:9" ht="86.25" customHeight="1" x14ac:dyDescent="0.2">
      <c r="A2" s="19" t="s">
        <v>9</v>
      </c>
      <c r="B2" s="19" t="s">
        <v>10</v>
      </c>
      <c r="C2" s="19" t="s">
        <v>11</v>
      </c>
      <c r="D2" s="19" t="s">
        <v>12</v>
      </c>
      <c r="E2" s="20" t="s">
        <v>13</v>
      </c>
      <c r="F2" s="21" t="s">
        <v>14</v>
      </c>
      <c r="G2" s="122" t="s">
        <v>15</v>
      </c>
      <c r="H2" s="23">
        <v>83160056548</v>
      </c>
      <c r="I2" s="23" t="s">
        <v>16</v>
      </c>
    </row>
    <row r="3" spans="1:9" ht="75" x14ac:dyDescent="0.2">
      <c r="A3" s="19" t="s">
        <v>9</v>
      </c>
      <c r="B3" s="19" t="s">
        <v>17</v>
      </c>
      <c r="C3" s="19" t="s">
        <v>18</v>
      </c>
      <c r="D3" s="19" t="s">
        <v>19</v>
      </c>
      <c r="E3" s="20" t="s">
        <v>13</v>
      </c>
      <c r="F3" s="21" t="str">
        <f>F2</f>
        <v>H&amp;M Hennes and Mauritz Pty Ltd 
Level 13, 55 Market Street 
Sydney NSW 2000 
AUSTRALIA
DLIMPEX-AU@hm.com</v>
      </c>
      <c r="G3" s="21" t="s">
        <v>20</v>
      </c>
      <c r="H3" s="23">
        <v>83160056548</v>
      </c>
      <c r="I3" s="23" t="s">
        <v>16</v>
      </c>
    </row>
    <row r="4" spans="1:9" ht="75" x14ac:dyDescent="0.2">
      <c r="A4" s="19" t="s">
        <v>9</v>
      </c>
      <c r="B4" s="19" t="s">
        <v>21</v>
      </c>
      <c r="C4" s="19" t="s">
        <v>22</v>
      </c>
      <c r="D4" s="19" t="s">
        <v>23</v>
      </c>
      <c r="E4" s="20" t="s">
        <v>13</v>
      </c>
      <c r="F4" s="21" t="str">
        <f>F2</f>
        <v>H&amp;M Hennes and Mauritz Pty Ltd 
Level 13, 55 Market Street 
Sydney NSW 2000 
AUSTRALIA
DLIMPEX-AU@hm.com</v>
      </c>
      <c r="G4" s="21" t="s">
        <v>20</v>
      </c>
      <c r="H4" s="23">
        <v>83160056548</v>
      </c>
      <c r="I4" s="23" t="s">
        <v>16</v>
      </c>
    </row>
    <row r="5" spans="1:9" ht="75" x14ac:dyDescent="0.2">
      <c r="A5" s="19" t="s">
        <v>9</v>
      </c>
      <c r="B5" s="19" t="s">
        <v>24</v>
      </c>
      <c r="C5" s="19" t="s">
        <v>25</v>
      </c>
      <c r="D5" s="19" t="s">
        <v>26</v>
      </c>
      <c r="E5" s="20" t="s">
        <v>13</v>
      </c>
      <c r="F5" s="21" t="str">
        <f>F2</f>
        <v>H&amp;M Hennes and Mauritz Pty Ltd 
Level 13, 55 Market Street 
Sydney NSW 2000 
AUSTRALIA
DLIMPEX-AU@hm.com</v>
      </c>
      <c r="G5" s="21" t="s">
        <v>20</v>
      </c>
      <c r="H5" s="23">
        <v>83160056548</v>
      </c>
      <c r="I5" s="23" t="s">
        <v>16</v>
      </c>
    </row>
    <row r="6" spans="1:9" ht="75" x14ac:dyDescent="0.2">
      <c r="A6" s="19" t="s">
        <v>9</v>
      </c>
      <c r="B6" s="19" t="s">
        <v>27</v>
      </c>
      <c r="C6" s="19" t="s">
        <v>28</v>
      </c>
      <c r="D6" s="19" t="s">
        <v>29</v>
      </c>
      <c r="E6" s="20" t="s">
        <v>13</v>
      </c>
      <c r="F6" s="21" t="str">
        <f>F2</f>
        <v>H&amp;M Hennes and Mauritz Pty Ltd 
Level 13, 55 Market Street 
Sydney NSW 2000 
AUSTRALIA
DLIMPEX-AU@hm.com</v>
      </c>
      <c r="G6" s="21" t="s">
        <v>20</v>
      </c>
      <c r="H6" s="23">
        <v>83160056548</v>
      </c>
      <c r="I6" s="23" t="s">
        <v>16</v>
      </c>
    </row>
    <row r="7" spans="1:9" ht="75" x14ac:dyDescent="0.2">
      <c r="A7" s="19" t="s">
        <v>9</v>
      </c>
      <c r="B7" s="19" t="s">
        <v>30</v>
      </c>
      <c r="C7" s="19" t="s">
        <v>31</v>
      </c>
      <c r="D7" s="19" t="s">
        <v>32</v>
      </c>
      <c r="E7" s="20" t="s">
        <v>13</v>
      </c>
      <c r="F7" s="21" t="str">
        <f>F2</f>
        <v>H&amp;M Hennes and Mauritz Pty Ltd 
Level 13, 55 Market Street 
Sydney NSW 2000 
AUSTRALIA
DLIMPEX-AU@hm.com</v>
      </c>
      <c r="G7" s="21" t="s">
        <v>20</v>
      </c>
      <c r="H7" s="23">
        <v>83160056548</v>
      </c>
      <c r="I7" s="23" t="s">
        <v>16</v>
      </c>
    </row>
    <row r="8" spans="1:9" ht="75" x14ac:dyDescent="0.2">
      <c r="A8" s="138" t="s">
        <v>9</v>
      </c>
      <c r="B8" s="139" t="s">
        <v>33</v>
      </c>
      <c r="C8" s="139" t="s">
        <v>34</v>
      </c>
      <c r="D8" s="139" t="s">
        <v>35</v>
      </c>
      <c r="E8" s="106" t="s">
        <v>13</v>
      </c>
      <c r="F8" s="26" t="str">
        <f>F2</f>
        <v>H&amp;M Hennes and Mauritz Pty Ltd 
Level 13, 55 Market Street 
Sydney NSW 2000 
AUSTRALIA
DLIMPEX-AU@hm.com</v>
      </c>
      <c r="G8" s="26" t="s">
        <v>20</v>
      </c>
      <c r="H8" s="27">
        <v>83160056548</v>
      </c>
      <c r="I8" s="115" t="s">
        <v>16</v>
      </c>
    </row>
    <row r="9" spans="1:9" ht="105" x14ac:dyDescent="0.2">
      <c r="A9" s="19" t="s">
        <v>36</v>
      </c>
      <c r="B9" s="19" t="s">
        <v>37</v>
      </c>
      <c r="C9" s="19" t="s">
        <v>38</v>
      </c>
      <c r="D9" s="19" t="s">
        <v>39</v>
      </c>
      <c r="E9" s="20" t="s">
        <v>40</v>
      </c>
      <c r="F9" s="21" t="s">
        <v>41</v>
      </c>
      <c r="G9" s="21" t="s">
        <v>42</v>
      </c>
      <c r="H9" s="23" t="s">
        <v>43</v>
      </c>
      <c r="I9" s="23" t="s">
        <v>44</v>
      </c>
    </row>
    <row r="10" spans="1:9" ht="105" x14ac:dyDescent="0.2">
      <c r="A10" s="19" t="s">
        <v>36</v>
      </c>
      <c r="B10" s="19" t="s">
        <v>37</v>
      </c>
      <c r="C10" s="19" t="s">
        <v>45</v>
      </c>
      <c r="D10" s="19" t="s">
        <v>46</v>
      </c>
      <c r="E10" s="20" t="s">
        <v>40</v>
      </c>
      <c r="F10" s="21" t="s">
        <v>41</v>
      </c>
      <c r="G10" s="21" t="s">
        <v>47</v>
      </c>
      <c r="H10" s="23" t="s">
        <v>43</v>
      </c>
      <c r="I10" s="23" t="s">
        <v>44</v>
      </c>
    </row>
    <row r="11" spans="1:9" ht="105" x14ac:dyDescent="0.2">
      <c r="A11" s="28" t="s">
        <v>36</v>
      </c>
      <c r="B11" s="28" t="s">
        <v>37</v>
      </c>
      <c r="C11" s="28" t="s">
        <v>48</v>
      </c>
      <c r="D11" s="28" t="s">
        <v>49</v>
      </c>
      <c r="E11" s="29" t="s">
        <v>40</v>
      </c>
      <c r="F11" s="30" t="s">
        <v>41</v>
      </c>
      <c r="G11" s="30" t="s">
        <v>47</v>
      </c>
      <c r="H11" s="31" t="s">
        <v>43</v>
      </c>
      <c r="I11" s="31" t="s">
        <v>44</v>
      </c>
    </row>
    <row r="12" spans="1:9" ht="90.75" customHeight="1" x14ac:dyDescent="0.2">
      <c r="A12" s="19" t="s">
        <v>50</v>
      </c>
      <c r="B12" s="19" t="s">
        <v>51</v>
      </c>
      <c r="C12" s="19" t="s">
        <v>52</v>
      </c>
      <c r="D12" s="19" t="s">
        <v>53</v>
      </c>
      <c r="E12" s="90" t="s">
        <v>54</v>
      </c>
      <c r="F12" s="158" t="s">
        <v>55</v>
      </c>
      <c r="G12" s="158" t="s">
        <v>56</v>
      </c>
      <c r="H12" s="23" t="s">
        <v>57</v>
      </c>
      <c r="I12" s="23" t="s">
        <v>58</v>
      </c>
    </row>
    <row r="13" spans="1:9" ht="96" x14ac:dyDescent="0.2">
      <c r="A13" s="24" t="s">
        <v>50</v>
      </c>
      <c r="B13" s="24" t="s">
        <v>59</v>
      </c>
      <c r="C13" s="24" t="s">
        <v>60</v>
      </c>
      <c r="D13" s="24" t="s">
        <v>61</v>
      </c>
      <c r="E13" s="90" t="s">
        <v>54</v>
      </c>
      <c r="F13" s="91" t="str">
        <f>F12</f>
        <v>H&amp;M Hennes &amp; Mauritz Brazil Importacoes Ltda
Rod Fernao Dias, S/N, KM 936
Pessegueiros, Extrema, MG – CEP 37.646-410
Brazil
CPF/CNPJ 20.890.900/0003-20
DLIMPEX-BR@hm.com</v>
      </c>
      <c r="G13" s="26" t="s">
        <v>62</v>
      </c>
      <c r="H13" s="27" t="s">
        <v>57</v>
      </c>
      <c r="I13" s="27" t="s">
        <v>58</v>
      </c>
    </row>
    <row r="14" spans="1:9" ht="75" x14ac:dyDescent="0.2">
      <c r="A14" s="19" t="s">
        <v>63</v>
      </c>
      <c r="B14" s="19" t="s">
        <v>64</v>
      </c>
      <c r="C14" s="19" t="s">
        <v>65</v>
      </c>
      <c r="D14" s="19" t="s">
        <v>66</v>
      </c>
      <c r="E14" s="20" t="s">
        <v>67</v>
      </c>
      <c r="F14" s="21" t="s">
        <v>68</v>
      </c>
      <c r="G14" s="21" t="s">
        <v>69</v>
      </c>
      <c r="H14" s="23" t="s">
        <v>70</v>
      </c>
      <c r="I14" s="23" t="s">
        <v>71</v>
      </c>
    </row>
    <row r="15" spans="1:9" ht="60" x14ac:dyDescent="0.2">
      <c r="A15" s="19" t="s">
        <v>63</v>
      </c>
      <c r="B15" s="19" t="s">
        <v>72</v>
      </c>
      <c r="C15" s="19" t="s">
        <v>73</v>
      </c>
      <c r="D15" s="19" t="s">
        <v>74</v>
      </c>
      <c r="E15" s="20" t="s">
        <v>67</v>
      </c>
      <c r="F15" s="21" t="str">
        <f>F14</f>
        <v>H&amp;M Hennes &amp; Mauritz Inc.
210 Kerrison Drive East
Ajax ON L1Z 0R8
Canada</v>
      </c>
      <c r="G15" s="21" t="s">
        <v>75</v>
      </c>
      <c r="H15" s="23" t="s">
        <v>70</v>
      </c>
      <c r="I15" s="23" t="s">
        <v>71</v>
      </c>
    </row>
    <row r="16" spans="1:9" ht="60" x14ac:dyDescent="0.2">
      <c r="A16" s="19" t="s">
        <v>63</v>
      </c>
      <c r="B16" s="19" t="s">
        <v>76</v>
      </c>
      <c r="C16" s="19" t="s">
        <v>77</v>
      </c>
      <c r="D16" s="19" t="s">
        <v>78</v>
      </c>
      <c r="E16" s="20" t="s">
        <v>67</v>
      </c>
      <c r="F16" s="21" t="str">
        <f>F14</f>
        <v>H&amp;M Hennes &amp; Mauritz Inc.
210 Kerrison Drive East
Ajax ON L1Z 0R8
Canada</v>
      </c>
      <c r="G16" s="21" t="s">
        <v>75</v>
      </c>
      <c r="H16" s="23" t="s">
        <v>70</v>
      </c>
      <c r="I16" s="23" t="s">
        <v>71</v>
      </c>
    </row>
    <row r="17" spans="1:9" ht="60" x14ac:dyDescent="0.2">
      <c r="A17" s="104" t="s">
        <v>63</v>
      </c>
      <c r="B17" s="104" t="s">
        <v>79</v>
      </c>
      <c r="C17" s="104" t="s">
        <v>80</v>
      </c>
      <c r="D17" s="104" t="s">
        <v>81</v>
      </c>
      <c r="E17" s="20" t="s">
        <v>67</v>
      </c>
      <c r="F17" s="21" t="str">
        <f>F14</f>
        <v>H&amp;M Hennes &amp; Mauritz Inc.
210 Kerrison Drive East
Ajax ON L1Z 0R8
Canada</v>
      </c>
      <c r="G17" s="21" t="s">
        <v>75</v>
      </c>
      <c r="H17" s="23" t="s">
        <v>70</v>
      </c>
      <c r="I17" s="23" t="s">
        <v>71</v>
      </c>
    </row>
    <row r="18" spans="1:9" ht="60" x14ac:dyDescent="0.2">
      <c r="A18" s="114" t="s">
        <v>63</v>
      </c>
      <c r="B18" s="114" t="s">
        <v>82</v>
      </c>
      <c r="C18" s="144" t="s">
        <v>83</v>
      </c>
      <c r="D18" s="144" t="s">
        <v>84</v>
      </c>
      <c r="E18" s="20" t="s">
        <v>67</v>
      </c>
      <c r="F18" s="21" t="str">
        <f>F14</f>
        <v>H&amp;M Hennes &amp; Mauritz Inc.
210 Kerrison Drive East
Ajax ON L1Z 0R8
Canada</v>
      </c>
      <c r="G18" s="21" t="s">
        <v>75</v>
      </c>
      <c r="H18" s="23" t="s">
        <v>70</v>
      </c>
      <c r="I18" s="23" t="s">
        <v>71</v>
      </c>
    </row>
    <row r="19" spans="1:9" ht="99.75" customHeight="1" x14ac:dyDescent="0.2">
      <c r="A19" s="32" t="s">
        <v>85</v>
      </c>
      <c r="B19" s="32" t="s">
        <v>86</v>
      </c>
      <c r="C19" s="32" t="s">
        <v>87</v>
      </c>
      <c r="D19" s="32" t="s">
        <v>88</v>
      </c>
      <c r="E19" s="33" t="s">
        <v>89</v>
      </c>
      <c r="F19" s="34" t="s">
        <v>90</v>
      </c>
      <c r="G19" s="34" t="s">
        <v>91</v>
      </c>
      <c r="H19" s="35" t="s">
        <v>92</v>
      </c>
      <c r="I19" s="35" t="s">
        <v>93</v>
      </c>
    </row>
    <row r="20" spans="1:9" ht="240" x14ac:dyDescent="0.2">
      <c r="A20" s="36" t="s">
        <v>94</v>
      </c>
      <c r="B20" s="37" t="s">
        <v>95</v>
      </c>
      <c r="C20" s="37" t="s">
        <v>96</v>
      </c>
      <c r="D20" s="37" t="s">
        <v>97</v>
      </c>
      <c r="E20" s="37" t="s">
        <v>98</v>
      </c>
      <c r="F20" s="30" t="s">
        <v>99</v>
      </c>
      <c r="G20" s="38" t="s">
        <v>100</v>
      </c>
      <c r="H20" s="39" t="s">
        <v>101</v>
      </c>
      <c r="I20" s="40" t="s">
        <v>102</v>
      </c>
    </row>
    <row r="21" spans="1:9" ht="16" x14ac:dyDescent="0.2">
      <c r="A21" s="19" t="s">
        <v>94</v>
      </c>
      <c r="B21" s="19" t="s">
        <v>103</v>
      </c>
      <c r="C21" s="19" t="s">
        <v>104</v>
      </c>
      <c r="D21" s="19" t="s">
        <v>105</v>
      </c>
      <c r="E21" s="20" t="s">
        <v>98</v>
      </c>
      <c r="F21" s="21" t="s">
        <v>106</v>
      </c>
      <c r="G21" s="21" t="s">
        <v>106</v>
      </c>
      <c r="H21" s="41" t="s">
        <v>101</v>
      </c>
      <c r="I21" s="23" t="s">
        <v>102</v>
      </c>
    </row>
    <row r="22" spans="1:9" ht="16" x14ac:dyDescent="0.2">
      <c r="A22" s="19" t="s">
        <v>94</v>
      </c>
      <c r="B22" s="19" t="s">
        <v>107</v>
      </c>
      <c r="C22" s="19" t="s">
        <v>108</v>
      </c>
      <c r="D22" s="19" t="s">
        <v>109</v>
      </c>
      <c r="E22" s="20" t="s">
        <v>98</v>
      </c>
      <c r="F22" s="21" t="s">
        <v>106</v>
      </c>
      <c r="G22" s="21" t="s">
        <v>106</v>
      </c>
      <c r="H22" s="41" t="s">
        <v>101</v>
      </c>
      <c r="I22" s="23" t="s">
        <v>102</v>
      </c>
    </row>
    <row r="23" spans="1:9" ht="16" x14ac:dyDescent="0.2">
      <c r="A23" s="19" t="s">
        <v>94</v>
      </c>
      <c r="B23" s="19" t="s">
        <v>110</v>
      </c>
      <c r="C23" s="19" t="s">
        <v>111</v>
      </c>
      <c r="D23" s="19" t="s">
        <v>112</v>
      </c>
      <c r="E23" s="20" t="s">
        <v>98</v>
      </c>
      <c r="F23" s="21" t="s">
        <v>106</v>
      </c>
      <c r="G23" s="21" t="s">
        <v>106</v>
      </c>
      <c r="H23" s="41" t="s">
        <v>101</v>
      </c>
      <c r="I23" s="23" t="s">
        <v>102</v>
      </c>
    </row>
    <row r="24" spans="1:9" ht="16" x14ac:dyDescent="0.2">
      <c r="A24" s="19" t="s">
        <v>94</v>
      </c>
      <c r="B24" s="19" t="s">
        <v>113</v>
      </c>
      <c r="C24" s="19" t="s">
        <v>114</v>
      </c>
      <c r="D24" s="19" t="s">
        <v>115</v>
      </c>
      <c r="E24" s="20" t="s">
        <v>98</v>
      </c>
      <c r="F24" s="21" t="s">
        <v>106</v>
      </c>
      <c r="G24" s="21" t="s">
        <v>106</v>
      </c>
      <c r="H24" s="41" t="s">
        <v>101</v>
      </c>
      <c r="I24" s="23" t="s">
        <v>102</v>
      </c>
    </row>
    <row r="25" spans="1:9" ht="16" x14ac:dyDescent="0.2">
      <c r="A25" s="19" t="s">
        <v>94</v>
      </c>
      <c r="B25" s="19" t="s">
        <v>116</v>
      </c>
      <c r="C25" s="19" t="s">
        <v>117</v>
      </c>
      <c r="D25" s="19" t="s">
        <v>118</v>
      </c>
      <c r="E25" s="20" t="s">
        <v>98</v>
      </c>
      <c r="F25" s="21" t="s">
        <v>106</v>
      </c>
      <c r="G25" s="21" t="s">
        <v>106</v>
      </c>
      <c r="H25" s="41" t="s">
        <v>101</v>
      </c>
      <c r="I25" s="23" t="s">
        <v>102</v>
      </c>
    </row>
    <row r="26" spans="1:9" ht="16" x14ac:dyDescent="0.2">
      <c r="A26" s="19" t="s">
        <v>94</v>
      </c>
      <c r="B26" s="19" t="s">
        <v>119</v>
      </c>
      <c r="C26" s="19" t="s">
        <v>120</v>
      </c>
      <c r="D26" s="19" t="s">
        <v>121</v>
      </c>
      <c r="E26" s="20" t="s">
        <v>98</v>
      </c>
      <c r="F26" s="21" t="s">
        <v>106</v>
      </c>
      <c r="G26" s="21" t="s">
        <v>106</v>
      </c>
      <c r="H26" s="41" t="s">
        <v>101</v>
      </c>
      <c r="I26" s="23" t="s">
        <v>102</v>
      </c>
    </row>
    <row r="27" spans="1:9" ht="16" x14ac:dyDescent="0.2">
      <c r="A27" s="28" t="s">
        <v>94</v>
      </c>
      <c r="B27" s="28" t="s">
        <v>122</v>
      </c>
      <c r="C27" s="28" t="s">
        <v>123</v>
      </c>
      <c r="D27" s="24" t="s">
        <v>124</v>
      </c>
      <c r="E27" s="29" t="s">
        <v>98</v>
      </c>
      <c r="F27" s="30" t="s">
        <v>106</v>
      </c>
      <c r="G27" s="30" t="s">
        <v>106</v>
      </c>
      <c r="H27" s="41" t="s">
        <v>101</v>
      </c>
      <c r="I27" s="23" t="s">
        <v>102</v>
      </c>
    </row>
    <row r="28" spans="1:9" ht="409.5" customHeight="1" x14ac:dyDescent="0.2">
      <c r="A28" s="36" t="s">
        <v>125</v>
      </c>
      <c r="B28" s="37" t="s">
        <v>126</v>
      </c>
      <c r="C28" s="37" t="s">
        <v>127</v>
      </c>
      <c r="D28" s="42" t="s">
        <v>128</v>
      </c>
      <c r="E28" s="37" t="s">
        <v>129</v>
      </c>
      <c r="F28" s="113" t="s">
        <v>846</v>
      </c>
      <c r="G28" s="148" t="s">
        <v>130</v>
      </c>
      <c r="H28" s="39" t="s">
        <v>131</v>
      </c>
      <c r="I28" s="40" t="s">
        <v>132</v>
      </c>
    </row>
    <row r="29" spans="1:9" ht="90" x14ac:dyDescent="0.2">
      <c r="A29" s="32" t="s">
        <v>133</v>
      </c>
      <c r="B29" s="32" t="s">
        <v>134</v>
      </c>
      <c r="C29" s="32" t="s">
        <v>135</v>
      </c>
      <c r="D29" s="32" t="s">
        <v>136</v>
      </c>
      <c r="E29" s="33" t="s">
        <v>137</v>
      </c>
      <c r="F29" s="34" t="s">
        <v>138</v>
      </c>
      <c r="G29" s="34" t="s">
        <v>139</v>
      </c>
      <c r="H29" s="35">
        <v>46773644577</v>
      </c>
      <c r="I29" s="35" t="s">
        <v>140</v>
      </c>
    </row>
    <row r="30" spans="1:9" ht="191.25" customHeight="1" x14ac:dyDescent="0.2">
      <c r="A30" s="32" t="s">
        <v>141</v>
      </c>
      <c r="B30" s="32" t="s">
        <v>142</v>
      </c>
      <c r="C30" s="32" t="s">
        <v>143</v>
      </c>
      <c r="D30" s="32" t="s">
        <v>144</v>
      </c>
      <c r="E30" s="43" t="s">
        <v>145</v>
      </c>
      <c r="F30" s="44" t="s">
        <v>847</v>
      </c>
      <c r="G30" s="44" t="s">
        <v>146</v>
      </c>
      <c r="H30" s="35" t="s">
        <v>147</v>
      </c>
      <c r="I30" s="35" t="s">
        <v>148</v>
      </c>
    </row>
    <row r="31" spans="1:9" ht="105" x14ac:dyDescent="0.2">
      <c r="A31" s="19" t="s">
        <v>149</v>
      </c>
      <c r="B31" s="19" t="s">
        <v>150</v>
      </c>
      <c r="C31" s="19" t="s">
        <v>151</v>
      </c>
      <c r="D31" s="19" t="s">
        <v>152</v>
      </c>
      <c r="E31" s="20" t="s">
        <v>153</v>
      </c>
      <c r="F31" s="21" t="s">
        <v>154</v>
      </c>
      <c r="G31" s="21" t="s">
        <v>155</v>
      </c>
      <c r="H31" s="23" t="s">
        <v>156</v>
      </c>
      <c r="I31" s="23" t="s">
        <v>44</v>
      </c>
    </row>
    <row r="32" spans="1:9" ht="105" x14ac:dyDescent="0.2">
      <c r="A32" s="19" t="s">
        <v>149</v>
      </c>
      <c r="B32" s="19" t="s">
        <v>150</v>
      </c>
      <c r="C32" s="19" t="s">
        <v>157</v>
      </c>
      <c r="D32" s="19" t="s">
        <v>158</v>
      </c>
      <c r="E32" s="20" t="s">
        <v>153</v>
      </c>
      <c r="F32" s="21" t="s">
        <v>154</v>
      </c>
      <c r="G32" s="21" t="s">
        <v>159</v>
      </c>
      <c r="H32" s="23" t="s">
        <v>156</v>
      </c>
      <c r="I32" s="23" t="s">
        <v>44</v>
      </c>
    </row>
    <row r="33" spans="1:9" ht="64" x14ac:dyDescent="0.2">
      <c r="A33" s="19" t="s">
        <v>149</v>
      </c>
      <c r="B33" s="19" t="s">
        <v>160</v>
      </c>
      <c r="C33" s="134" t="s">
        <v>161</v>
      </c>
      <c r="D33" s="19" t="s">
        <v>162</v>
      </c>
      <c r="E33" s="20" t="s">
        <v>153</v>
      </c>
      <c r="F33" s="21" t="s">
        <v>159</v>
      </c>
      <c r="G33" s="21" t="s">
        <v>159</v>
      </c>
      <c r="H33" s="23" t="s">
        <v>156</v>
      </c>
      <c r="I33" s="23" t="s">
        <v>44</v>
      </c>
    </row>
    <row r="34" spans="1:9" ht="64" x14ac:dyDescent="0.2">
      <c r="A34" s="19" t="s">
        <v>149</v>
      </c>
      <c r="B34" s="19" t="s">
        <v>163</v>
      </c>
      <c r="C34" s="134" t="s">
        <v>164</v>
      </c>
      <c r="D34" s="19" t="s">
        <v>165</v>
      </c>
      <c r="E34" s="20" t="s">
        <v>153</v>
      </c>
      <c r="F34" s="21" t="s">
        <v>159</v>
      </c>
      <c r="G34" s="21" t="s">
        <v>159</v>
      </c>
      <c r="H34" s="23" t="s">
        <v>156</v>
      </c>
      <c r="I34" s="23" t="s">
        <v>44</v>
      </c>
    </row>
    <row r="35" spans="1:9" ht="64" x14ac:dyDescent="0.2">
      <c r="A35" s="19" t="s">
        <v>149</v>
      </c>
      <c r="B35" s="19" t="s">
        <v>166</v>
      </c>
      <c r="C35" s="134" t="s">
        <v>167</v>
      </c>
      <c r="D35" s="85" t="s">
        <v>168</v>
      </c>
      <c r="E35" s="20" t="s">
        <v>153</v>
      </c>
      <c r="F35" s="21" t="s">
        <v>159</v>
      </c>
      <c r="G35" s="21" t="s">
        <v>159</v>
      </c>
      <c r="H35" s="23" t="s">
        <v>156</v>
      </c>
      <c r="I35" s="23" t="s">
        <v>44</v>
      </c>
    </row>
    <row r="36" spans="1:9" ht="16" x14ac:dyDescent="0.2">
      <c r="A36" s="19" t="s">
        <v>149</v>
      </c>
      <c r="B36" s="19" t="s">
        <v>169</v>
      </c>
      <c r="C36" s="19" t="s">
        <v>170</v>
      </c>
      <c r="D36" s="19" t="s">
        <v>171</v>
      </c>
      <c r="E36" s="20" t="s">
        <v>153</v>
      </c>
      <c r="F36" s="21" t="s">
        <v>159</v>
      </c>
      <c r="G36" s="21" t="s">
        <v>159</v>
      </c>
      <c r="H36" s="23" t="s">
        <v>156</v>
      </c>
      <c r="I36" s="23" t="s">
        <v>44</v>
      </c>
    </row>
    <row r="37" spans="1:9" ht="16" x14ac:dyDescent="0.2">
      <c r="A37" s="19" t="s">
        <v>149</v>
      </c>
      <c r="B37" s="19" t="s">
        <v>172</v>
      </c>
      <c r="C37" s="19" t="s">
        <v>173</v>
      </c>
      <c r="D37" s="19" t="s">
        <v>174</v>
      </c>
      <c r="E37" s="20" t="s">
        <v>153</v>
      </c>
      <c r="F37" s="21" t="s">
        <v>159</v>
      </c>
      <c r="G37" s="21" t="s">
        <v>159</v>
      </c>
      <c r="H37" s="23" t="s">
        <v>156</v>
      </c>
      <c r="I37" s="23" t="s">
        <v>44</v>
      </c>
    </row>
    <row r="38" spans="1:9" ht="16" x14ac:dyDescent="0.2">
      <c r="A38" s="19" t="s">
        <v>149</v>
      </c>
      <c r="B38" s="19" t="s">
        <v>175</v>
      </c>
      <c r="C38" s="19" t="s">
        <v>176</v>
      </c>
      <c r="D38" s="19" t="s">
        <v>177</v>
      </c>
      <c r="E38" s="20" t="s">
        <v>153</v>
      </c>
      <c r="F38" s="21" t="s">
        <v>159</v>
      </c>
      <c r="G38" s="21" t="s">
        <v>159</v>
      </c>
      <c r="H38" s="23" t="s">
        <v>156</v>
      </c>
      <c r="I38" s="23" t="s">
        <v>44</v>
      </c>
    </row>
    <row r="39" spans="1:9" ht="16" x14ac:dyDescent="0.2">
      <c r="A39" s="19" t="s">
        <v>149</v>
      </c>
      <c r="B39" s="19" t="s">
        <v>178</v>
      </c>
      <c r="C39" s="19" t="s">
        <v>179</v>
      </c>
      <c r="D39" s="86" t="s">
        <v>180</v>
      </c>
      <c r="E39" s="20" t="s">
        <v>153</v>
      </c>
      <c r="F39" s="21" t="s">
        <v>159</v>
      </c>
      <c r="G39" s="21" t="s">
        <v>159</v>
      </c>
      <c r="H39" s="23" t="s">
        <v>156</v>
      </c>
      <c r="I39" s="23" t="s">
        <v>44</v>
      </c>
    </row>
    <row r="40" spans="1:9" ht="16" x14ac:dyDescent="0.2">
      <c r="A40" s="19" t="s">
        <v>149</v>
      </c>
      <c r="B40" s="19" t="s">
        <v>181</v>
      </c>
      <c r="C40" s="19" t="s">
        <v>182</v>
      </c>
      <c r="D40" s="19" t="s">
        <v>183</v>
      </c>
      <c r="E40" s="20" t="s">
        <v>153</v>
      </c>
      <c r="F40" s="21" t="s">
        <v>159</v>
      </c>
      <c r="G40" s="21" t="s">
        <v>159</v>
      </c>
      <c r="H40" s="23" t="s">
        <v>156</v>
      </c>
      <c r="I40" s="23" t="s">
        <v>44</v>
      </c>
    </row>
    <row r="41" spans="1:9" ht="16" x14ac:dyDescent="0.2">
      <c r="A41" s="19" t="s">
        <v>149</v>
      </c>
      <c r="B41" s="19" t="s">
        <v>184</v>
      </c>
      <c r="C41" s="19" t="s">
        <v>185</v>
      </c>
      <c r="D41" s="19" t="s">
        <v>186</v>
      </c>
      <c r="E41" s="20" t="s">
        <v>153</v>
      </c>
      <c r="F41" s="21" t="s">
        <v>159</v>
      </c>
      <c r="G41" s="21" t="s">
        <v>159</v>
      </c>
      <c r="H41" s="23" t="s">
        <v>156</v>
      </c>
      <c r="I41" s="23" t="s">
        <v>44</v>
      </c>
    </row>
    <row r="42" spans="1:9" ht="16" x14ac:dyDescent="0.2">
      <c r="A42" s="19" t="s">
        <v>149</v>
      </c>
      <c r="B42" s="19" t="s">
        <v>187</v>
      </c>
      <c r="C42" s="19" t="s">
        <v>188</v>
      </c>
      <c r="D42" s="19" t="s">
        <v>189</v>
      </c>
      <c r="E42" s="20" t="s">
        <v>153</v>
      </c>
      <c r="F42" s="21" t="s">
        <v>159</v>
      </c>
      <c r="G42" s="21" t="s">
        <v>159</v>
      </c>
      <c r="H42" s="23" t="s">
        <v>156</v>
      </c>
      <c r="I42" s="23" t="s">
        <v>44</v>
      </c>
    </row>
    <row r="43" spans="1:9" ht="16" x14ac:dyDescent="0.2">
      <c r="A43" s="19" t="s">
        <v>149</v>
      </c>
      <c r="B43" s="19" t="s">
        <v>190</v>
      </c>
      <c r="C43" s="19" t="s">
        <v>191</v>
      </c>
      <c r="D43" s="19" t="s">
        <v>192</v>
      </c>
      <c r="E43" s="20" t="s">
        <v>153</v>
      </c>
      <c r="F43" s="21" t="s">
        <v>159</v>
      </c>
      <c r="G43" s="21" t="s">
        <v>159</v>
      </c>
      <c r="H43" s="23" t="s">
        <v>156</v>
      </c>
      <c r="I43" s="23" t="s">
        <v>44</v>
      </c>
    </row>
    <row r="44" spans="1:9" ht="16" x14ac:dyDescent="0.2">
      <c r="A44" s="19" t="s">
        <v>149</v>
      </c>
      <c r="B44" s="19" t="s">
        <v>193</v>
      </c>
      <c r="C44" s="19" t="s">
        <v>194</v>
      </c>
      <c r="D44" s="19" t="s">
        <v>195</v>
      </c>
      <c r="E44" s="20" t="s">
        <v>153</v>
      </c>
      <c r="F44" s="21" t="s">
        <v>159</v>
      </c>
      <c r="G44" s="21" t="s">
        <v>159</v>
      </c>
      <c r="H44" s="23" t="s">
        <v>156</v>
      </c>
      <c r="I44" s="23" t="s">
        <v>44</v>
      </c>
    </row>
    <row r="45" spans="1:9" ht="16" x14ac:dyDescent="0.2">
      <c r="A45" s="104" t="s">
        <v>149</v>
      </c>
      <c r="B45" s="104" t="s">
        <v>196</v>
      </c>
      <c r="C45" s="104" t="s">
        <v>197</v>
      </c>
      <c r="D45" s="104" t="s">
        <v>198</v>
      </c>
      <c r="E45" s="20" t="s">
        <v>153</v>
      </c>
      <c r="F45" s="21" t="s">
        <v>159</v>
      </c>
      <c r="G45" s="21" t="s">
        <v>159</v>
      </c>
      <c r="H45" s="23" t="s">
        <v>156</v>
      </c>
      <c r="I45" s="23" t="s">
        <v>44</v>
      </c>
    </row>
    <row r="46" spans="1:9" ht="16" x14ac:dyDescent="0.2">
      <c r="A46" s="19" t="s">
        <v>149</v>
      </c>
      <c r="B46" s="19" t="s">
        <v>199</v>
      </c>
      <c r="C46" s="19" t="s">
        <v>200</v>
      </c>
      <c r="D46" s="19" t="s">
        <v>201</v>
      </c>
      <c r="E46" s="20" t="s">
        <v>153</v>
      </c>
      <c r="F46" s="21" t="s">
        <v>159</v>
      </c>
      <c r="G46" s="21" t="s">
        <v>159</v>
      </c>
      <c r="H46" s="23" t="s">
        <v>156</v>
      </c>
      <c r="I46" s="23" t="s">
        <v>44</v>
      </c>
    </row>
    <row r="47" spans="1:9" ht="16" x14ac:dyDescent="0.2">
      <c r="A47" s="19" t="s">
        <v>149</v>
      </c>
      <c r="B47" s="19" t="s">
        <v>202</v>
      </c>
      <c r="C47" s="19" t="s">
        <v>203</v>
      </c>
      <c r="D47" s="19" t="s">
        <v>204</v>
      </c>
      <c r="E47" s="20" t="s">
        <v>153</v>
      </c>
      <c r="F47" s="21" t="s">
        <v>159</v>
      </c>
      <c r="G47" s="21" t="s">
        <v>159</v>
      </c>
      <c r="H47" s="23" t="s">
        <v>156</v>
      </c>
      <c r="I47" s="23" t="s">
        <v>44</v>
      </c>
    </row>
    <row r="48" spans="1:9" ht="16" x14ac:dyDescent="0.2">
      <c r="A48" s="19" t="s">
        <v>149</v>
      </c>
      <c r="B48" s="19" t="s">
        <v>205</v>
      </c>
      <c r="C48" s="19" t="s">
        <v>206</v>
      </c>
      <c r="D48" s="19" t="s">
        <v>207</v>
      </c>
      <c r="E48" s="20" t="s">
        <v>153</v>
      </c>
      <c r="F48" s="21" t="s">
        <v>159</v>
      </c>
      <c r="G48" s="21" t="s">
        <v>159</v>
      </c>
      <c r="H48" s="23" t="s">
        <v>156</v>
      </c>
      <c r="I48" s="23" t="s">
        <v>44</v>
      </c>
    </row>
    <row r="49" spans="1:9" ht="16" x14ac:dyDescent="0.2">
      <c r="A49" s="19" t="s">
        <v>149</v>
      </c>
      <c r="B49" s="19" t="s">
        <v>208</v>
      </c>
      <c r="C49" s="19" t="s">
        <v>209</v>
      </c>
      <c r="D49" s="19" t="s">
        <v>210</v>
      </c>
      <c r="E49" s="20" t="s">
        <v>153</v>
      </c>
      <c r="F49" s="21" t="s">
        <v>159</v>
      </c>
      <c r="G49" s="21" t="s">
        <v>159</v>
      </c>
      <c r="H49" s="23" t="s">
        <v>211</v>
      </c>
      <c r="I49" s="23" t="s">
        <v>44</v>
      </c>
    </row>
    <row r="50" spans="1:9" ht="16" x14ac:dyDescent="0.2">
      <c r="A50" s="135" t="s">
        <v>149</v>
      </c>
      <c r="B50" s="136" t="s">
        <v>212</v>
      </c>
      <c r="C50" s="136" t="s">
        <v>213</v>
      </c>
      <c r="D50" s="137" t="s">
        <v>214</v>
      </c>
      <c r="E50" s="20" t="s">
        <v>153</v>
      </c>
      <c r="F50" s="21" t="s">
        <v>159</v>
      </c>
      <c r="G50" s="21" t="s">
        <v>159</v>
      </c>
      <c r="H50" s="23" t="s">
        <v>215</v>
      </c>
      <c r="I50" s="23" t="s">
        <v>44</v>
      </c>
    </row>
    <row r="51" spans="1:9" ht="105" x14ac:dyDescent="0.2">
      <c r="A51" s="28" t="s">
        <v>149</v>
      </c>
      <c r="B51" s="28" t="s">
        <v>216</v>
      </c>
      <c r="C51" s="28" t="s">
        <v>217</v>
      </c>
      <c r="D51" s="28" t="s">
        <v>218</v>
      </c>
      <c r="E51" s="29" t="s">
        <v>153</v>
      </c>
      <c r="F51" s="30" t="s">
        <v>154</v>
      </c>
      <c r="G51" s="30" t="s">
        <v>155</v>
      </c>
      <c r="H51" s="31" t="s">
        <v>156</v>
      </c>
      <c r="I51" s="31" t="s">
        <v>44</v>
      </c>
    </row>
    <row r="52" spans="1:9" ht="120" x14ac:dyDescent="0.2">
      <c r="A52" s="19" t="s">
        <v>219</v>
      </c>
      <c r="B52" s="19" t="s">
        <v>220</v>
      </c>
      <c r="C52" s="19" t="s">
        <v>221</v>
      </c>
      <c r="D52" s="19" t="s">
        <v>222</v>
      </c>
      <c r="E52" s="20" t="s">
        <v>223</v>
      </c>
      <c r="F52" s="21" t="s">
        <v>224</v>
      </c>
      <c r="G52" s="21" t="s">
        <v>225</v>
      </c>
      <c r="H52" s="21" t="s">
        <v>226</v>
      </c>
      <c r="I52" s="23" t="s">
        <v>227</v>
      </c>
    </row>
    <row r="53" spans="1:9" ht="120" x14ac:dyDescent="0.2">
      <c r="A53" s="19" t="s">
        <v>219</v>
      </c>
      <c r="B53" s="19" t="s">
        <v>220</v>
      </c>
      <c r="C53" s="19" t="s">
        <v>228</v>
      </c>
      <c r="D53" s="19" t="s">
        <v>229</v>
      </c>
      <c r="E53" s="20" t="s">
        <v>223</v>
      </c>
      <c r="F53" s="21" t="str">
        <f>F52</f>
        <v xml:space="preserve">H &amp; M Hennes &amp; Mauritz GBC AB
c/o H &amp; M Hennes &amp; Mauritz UK Services Ltd.
1st Floor Uk House, 164-182 Oxford Street
London, W1D 1NN
UK
DLIMPEX-GB@hm.com
EORI: GB894525582000
</v>
      </c>
      <c r="G53" s="21" t="s">
        <v>230</v>
      </c>
      <c r="H53" s="21" t="s">
        <v>226</v>
      </c>
      <c r="I53" s="23" t="s">
        <v>227</v>
      </c>
    </row>
    <row r="54" spans="1:9" ht="120" x14ac:dyDescent="0.2">
      <c r="A54" s="19" t="s">
        <v>219</v>
      </c>
      <c r="B54" s="19" t="s">
        <v>231</v>
      </c>
      <c r="C54" s="19" t="s">
        <v>232</v>
      </c>
      <c r="D54" s="19" t="s">
        <v>233</v>
      </c>
      <c r="E54" s="20" t="s">
        <v>223</v>
      </c>
      <c r="F54" s="21" t="str">
        <f>F52</f>
        <v xml:space="preserve">H &amp; M Hennes &amp; Mauritz GBC AB
c/o H &amp; M Hennes &amp; Mauritz UK Services Ltd.
1st Floor Uk House, 164-182 Oxford Street
London, W1D 1NN
UK
DLIMPEX-GB@hm.com
EORI: GB894525582000
</v>
      </c>
      <c r="G54" s="21" t="s">
        <v>230</v>
      </c>
      <c r="H54" s="21" t="s">
        <v>226</v>
      </c>
      <c r="I54" s="23" t="s">
        <v>227</v>
      </c>
    </row>
    <row r="55" spans="1:9" ht="16" x14ac:dyDescent="0.2">
      <c r="A55" s="24" t="s">
        <v>219</v>
      </c>
      <c r="B55" s="24" t="s">
        <v>234</v>
      </c>
      <c r="C55" s="24" t="s">
        <v>235</v>
      </c>
      <c r="D55" s="24" t="s">
        <v>236</v>
      </c>
      <c r="E55" s="25" t="s">
        <v>223</v>
      </c>
      <c r="F55" s="26" t="s">
        <v>230</v>
      </c>
      <c r="G55" s="26" t="s">
        <v>230</v>
      </c>
      <c r="H55" s="26" t="s">
        <v>226</v>
      </c>
      <c r="I55" s="27" t="s">
        <v>227</v>
      </c>
    </row>
    <row r="56" spans="1:9" s="45" customFormat="1" ht="108.75" customHeight="1" x14ac:dyDescent="0.2">
      <c r="A56" s="28" t="s">
        <v>237</v>
      </c>
      <c r="B56" s="28" t="s">
        <v>238</v>
      </c>
      <c r="C56" s="28" t="s">
        <v>239</v>
      </c>
      <c r="D56" s="28" t="s">
        <v>240</v>
      </c>
      <c r="E56" s="29" t="s">
        <v>241</v>
      </c>
      <c r="F56" s="26" t="s">
        <v>242</v>
      </c>
      <c r="G56" s="26" t="s">
        <v>243</v>
      </c>
      <c r="H56" s="31">
        <v>37064702</v>
      </c>
      <c r="I56" s="31" t="s">
        <v>244</v>
      </c>
    </row>
    <row r="57" spans="1:9" ht="135" x14ac:dyDescent="0.2">
      <c r="A57" s="46" t="s">
        <v>245</v>
      </c>
      <c r="B57" s="19" t="s">
        <v>246</v>
      </c>
      <c r="C57" s="19" t="s">
        <v>247</v>
      </c>
      <c r="D57" s="19" t="s">
        <v>248</v>
      </c>
      <c r="E57" s="20" t="s">
        <v>249</v>
      </c>
      <c r="F57" s="21" t="s">
        <v>250</v>
      </c>
      <c r="G57" s="21" t="s">
        <v>251</v>
      </c>
      <c r="H57" s="23" t="s">
        <v>252</v>
      </c>
      <c r="I57" s="47" t="s">
        <v>253</v>
      </c>
    </row>
    <row r="58" spans="1:9" ht="120" x14ac:dyDescent="0.2">
      <c r="A58" s="48" t="s">
        <v>245</v>
      </c>
      <c r="B58" s="48" t="s">
        <v>254</v>
      </c>
      <c r="C58" s="48" t="s">
        <v>255</v>
      </c>
      <c r="D58" s="48" t="s">
        <v>256</v>
      </c>
      <c r="E58" s="48" t="s">
        <v>249</v>
      </c>
      <c r="F58" s="49" t="s">
        <v>257</v>
      </c>
      <c r="G58" s="49" t="s">
        <v>258</v>
      </c>
      <c r="H58" s="49" t="s">
        <v>252</v>
      </c>
      <c r="I58" s="50" t="s">
        <v>253</v>
      </c>
    </row>
    <row r="59" spans="1:9" ht="135" x14ac:dyDescent="0.2">
      <c r="A59" s="48" t="s">
        <v>245</v>
      </c>
      <c r="B59" s="48" t="s">
        <v>254</v>
      </c>
      <c r="C59" s="48" t="s">
        <v>259</v>
      </c>
      <c r="D59" s="48" t="s">
        <v>260</v>
      </c>
      <c r="E59" s="48" t="s">
        <v>261</v>
      </c>
      <c r="F59" s="49" t="s">
        <v>262</v>
      </c>
      <c r="G59" s="49" t="s">
        <v>258</v>
      </c>
      <c r="H59" s="50" t="s">
        <v>252</v>
      </c>
      <c r="I59" s="50" t="s">
        <v>253</v>
      </c>
    </row>
    <row r="60" spans="1:9" ht="114" customHeight="1" x14ac:dyDescent="0.2">
      <c r="A60" s="132" t="s">
        <v>245</v>
      </c>
      <c r="B60" s="132" t="s">
        <v>263</v>
      </c>
      <c r="C60" s="133" t="s">
        <v>264</v>
      </c>
      <c r="D60" s="133" t="s">
        <v>265</v>
      </c>
      <c r="E60" s="109" t="s">
        <v>249</v>
      </c>
      <c r="F60" s="21" t="s">
        <v>266</v>
      </c>
      <c r="G60" s="49" t="s">
        <v>258</v>
      </c>
      <c r="H60" s="110" t="s">
        <v>267</v>
      </c>
      <c r="I60" s="110"/>
    </row>
    <row r="61" spans="1:9" ht="16" x14ac:dyDescent="0.2">
      <c r="A61" s="132" t="s">
        <v>245</v>
      </c>
      <c r="B61" s="132" t="s">
        <v>263</v>
      </c>
      <c r="C61" s="145" t="s">
        <v>268</v>
      </c>
      <c r="D61" s="146" t="s">
        <v>269</v>
      </c>
      <c r="E61" s="109" t="s">
        <v>261</v>
      </c>
      <c r="F61" s="99" t="s">
        <v>270</v>
      </c>
      <c r="G61" s="99" t="s">
        <v>270</v>
      </c>
      <c r="H61" s="110"/>
      <c r="I61" s="110"/>
    </row>
    <row r="62" spans="1:9" ht="13.5" customHeight="1" x14ac:dyDescent="0.2">
      <c r="A62" s="132" t="s">
        <v>245</v>
      </c>
      <c r="B62" s="132" t="s">
        <v>271</v>
      </c>
      <c r="C62" s="134" t="s">
        <v>272</v>
      </c>
      <c r="D62" s="134" t="s">
        <v>273</v>
      </c>
      <c r="E62" s="109" t="s">
        <v>261</v>
      </c>
      <c r="F62" s="99" t="s">
        <v>274</v>
      </c>
      <c r="G62" s="99" t="s">
        <v>270</v>
      </c>
      <c r="H62" s="110"/>
      <c r="I62" s="110"/>
    </row>
    <row r="63" spans="1:9" ht="120" x14ac:dyDescent="0.2">
      <c r="A63" s="104" t="s">
        <v>245</v>
      </c>
      <c r="B63" s="104" t="s">
        <v>246</v>
      </c>
      <c r="C63" s="104" t="s">
        <v>275</v>
      </c>
      <c r="D63" s="104" t="s">
        <v>276</v>
      </c>
      <c r="E63" s="109" t="s">
        <v>261</v>
      </c>
      <c r="F63" s="21" t="s">
        <v>266</v>
      </c>
      <c r="G63" s="99" t="s">
        <v>270</v>
      </c>
      <c r="H63" s="110"/>
      <c r="I63" s="110"/>
    </row>
    <row r="64" spans="1:9" ht="120" x14ac:dyDescent="0.2">
      <c r="A64" s="132" t="s">
        <v>245</v>
      </c>
      <c r="B64" s="132" t="s">
        <v>254</v>
      </c>
      <c r="C64" s="104" t="s">
        <v>277</v>
      </c>
      <c r="D64" s="132" t="s">
        <v>278</v>
      </c>
      <c r="E64" s="109" t="s">
        <v>261</v>
      </c>
      <c r="F64" s="21" t="s">
        <v>266</v>
      </c>
      <c r="G64" s="99" t="s">
        <v>270</v>
      </c>
      <c r="H64" s="110"/>
      <c r="I64" s="110"/>
    </row>
    <row r="65" spans="1:9" ht="120" x14ac:dyDescent="0.2">
      <c r="A65" s="19" t="s">
        <v>279</v>
      </c>
      <c r="B65" s="19" t="s">
        <v>280</v>
      </c>
      <c r="C65" s="19" t="s">
        <v>281</v>
      </c>
      <c r="D65" s="19" t="s">
        <v>282</v>
      </c>
      <c r="E65" s="20" t="s">
        <v>283</v>
      </c>
      <c r="F65" s="21" t="s">
        <v>284</v>
      </c>
      <c r="G65" s="21" t="s">
        <v>284</v>
      </c>
      <c r="H65" s="23">
        <v>1501614080</v>
      </c>
      <c r="I65" s="23" t="s">
        <v>285</v>
      </c>
    </row>
    <row r="66" spans="1:9" s="51" customFormat="1" ht="120" x14ac:dyDescent="0.2">
      <c r="A66" s="28" t="s">
        <v>279</v>
      </c>
      <c r="B66" s="28" t="s">
        <v>286</v>
      </c>
      <c r="C66" s="28" t="s">
        <v>287</v>
      </c>
      <c r="D66" s="28" t="s">
        <v>288</v>
      </c>
      <c r="E66" s="29" t="s">
        <v>283</v>
      </c>
      <c r="F66" s="30" t="s">
        <v>284</v>
      </c>
      <c r="G66" s="30" t="s">
        <v>289</v>
      </c>
      <c r="H66" s="31">
        <v>1501614080</v>
      </c>
      <c r="I66" s="31" t="s">
        <v>285</v>
      </c>
    </row>
    <row r="67" spans="1:9" s="51" customFormat="1" ht="120" x14ac:dyDescent="0.2">
      <c r="A67" s="19" t="s">
        <v>290</v>
      </c>
      <c r="B67" s="19" t="s">
        <v>291</v>
      </c>
      <c r="C67" s="19" t="s">
        <v>292</v>
      </c>
      <c r="D67" s="19" t="s">
        <v>293</v>
      </c>
      <c r="E67" s="20" t="s">
        <v>283</v>
      </c>
      <c r="F67" s="21" t="s">
        <v>294</v>
      </c>
      <c r="G67" s="21" t="s">
        <v>295</v>
      </c>
      <c r="H67" s="23">
        <v>1501614080</v>
      </c>
      <c r="I67" s="23" t="s">
        <v>285</v>
      </c>
    </row>
    <row r="68" spans="1:9" ht="16" x14ac:dyDescent="0.2">
      <c r="A68" s="19" t="s">
        <v>290</v>
      </c>
      <c r="B68" s="19" t="s">
        <v>296</v>
      </c>
      <c r="C68" s="19" t="s">
        <v>297</v>
      </c>
      <c r="D68" s="19" t="s">
        <v>298</v>
      </c>
      <c r="E68" s="20" t="s">
        <v>283</v>
      </c>
      <c r="F68" s="21" t="s">
        <v>299</v>
      </c>
      <c r="G68" s="21" t="s">
        <v>299</v>
      </c>
      <c r="H68" s="23">
        <v>1501614080</v>
      </c>
      <c r="I68" s="23" t="s">
        <v>285</v>
      </c>
    </row>
    <row r="69" spans="1:9" ht="16" x14ac:dyDescent="0.2">
      <c r="A69" s="19" t="s">
        <v>290</v>
      </c>
      <c r="B69" s="19" t="s">
        <v>300</v>
      </c>
      <c r="C69" s="19" t="s">
        <v>301</v>
      </c>
      <c r="D69" s="19" t="s">
        <v>302</v>
      </c>
      <c r="E69" s="20" t="s">
        <v>283</v>
      </c>
      <c r="F69" s="21" t="s">
        <v>299</v>
      </c>
      <c r="G69" s="21" t="s">
        <v>299</v>
      </c>
      <c r="H69" s="23">
        <v>1501614081</v>
      </c>
      <c r="I69" s="23" t="s">
        <v>285</v>
      </c>
    </row>
    <row r="70" spans="1:9" ht="16" x14ac:dyDescent="0.2">
      <c r="A70" s="100" t="s">
        <v>290</v>
      </c>
      <c r="B70" s="100" t="s">
        <v>303</v>
      </c>
      <c r="C70" s="100" t="s">
        <v>304</v>
      </c>
      <c r="D70" s="100" t="s">
        <v>305</v>
      </c>
      <c r="E70" s="106" t="s">
        <v>283</v>
      </c>
      <c r="F70" s="26" t="s">
        <v>299</v>
      </c>
      <c r="G70" s="26" t="s">
        <v>299</v>
      </c>
      <c r="H70" s="27">
        <v>1501614080</v>
      </c>
      <c r="I70" s="115"/>
    </row>
    <row r="71" spans="1:9" ht="112" x14ac:dyDescent="0.2">
      <c r="A71" s="19" t="s">
        <v>306</v>
      </c>
      <c r="B71" s="19" t="s">
        <v>307</v>
      </c>
      <c r="C71" s="19" t="s">
        <v>308</v>
      </c>
      <c r="D71" s="19" t="s">
        <v>309</v>
      </c>
      <c r="E71" s="19" t="s">
        <v>310</v>
      </c>
      <c r="F71" s="19" t="s">
        <v>311</v>
      </c>
      <c r="G71" s="19" t="s">
        <v>312</v>
      </c>
      <c r="H71" s="19" t="s">
        <v>313</v>
      </c>
      <c r="I71" s="19" t="s">
        <v>44</v>
      </c>
    </row>
    <row r="72" spans="1:9" ht="105" x14ac:dyDescent="0.2">
      <c r="A72" s="28" t="s">
        <v>306</v>
      </c>
      <c r="B72" s="28" t="s">
        <v>314</v>
      </c>
      <c r="C72" s="28" t="s">
        <v>315</v>
      </c>
      <c r="D72" s="28" t="s">
        <v>316</v>
      </c>
      <c r="E72" s="28" t="s">
        <v>310</v>
      </c>
      <c r="F72" s="30" t="s">
        <v>311</v>
      </c>
      <c r="G72" s="28" t="s">
        <v>312</v>
      </c>
      <c r="H72" s="28" t="s">
        <v>313</v>
      </c>
      <c r="I72" s="28" t="s">
        <v>44</v>
      </c>
    </row>
    <row r="73" spans="1:9" ht="155.25" customHeight="1" x14ac:dyDescent="0.2">
      <c r="A73" s="52" t="s">
        <v>317</v>
      </c>
      <c r="B73" s="53" t="s">
        <v>318</v>
      </c>
      <c r="C73" s="53" t="s">
        <v>319</v>
      </c>
      <c r="D73" s="53" t="s">
        <v>320</v>
      </c>
      <c r="E73" s="53" t="s">
        <v>321</v>
      </c>
      <c r="F73" s="21" t="s">
        <v>322</v>
      </c>
      <c r="G73" s="54" t="s">
        <v>323</v>
      </c>
      <c r="H73" s="55">
        <v>97700</v>
      </c>
      <c r="I73" s="56" t="s">
        <v>324</v>
      </c>
    </row>
    <row r="74" spans="1:9" ht="16" x14ac:dyDescent="0.2">
      <c r="A74" s="19" t="s">
        <v>317</v>
      </c>
      <c r="B74" s="19" t="s">
        <v>325</v>
      </c>
      <c r="C74" s="19" t="s">
        <v>326</v>
      </c>
      <c r="D74" s="19" t="s">
        <v>327</v>
      </c>
      <c r="E74" s="20" t="s">
        <v>321</v>
      </c>
      <c r="F74" s="21" t="s">
        <v>328</v>
      </c>
      <c r="G74" s="21" t="s">
        <v>328</v>
      </c>
      <c r="H74" s="23">
        <v>97700</v>
      </c>
      <c r="I74" s="23" t="s">
        <v>324</v>
      </c>
    </row>
    <row r="75" spans="1:9" ht="150" x14ac:dyDescent="0.2">
      <c r="A75" s="19" t="s">
        <v>317</v>
      </c>
      <c r="B75" s="19" t="s">
        <v>329</v>
      </c>
      <c r="C75" s="19" t="s">
        <v>330</v>
      </c>
      <c r="D75" s="19" t="s">
        <v>331</v>
      </c>
      <c r="E75" s="20" t="s">
        <v>321</v>
      </c>
      <c r="F75" s="21" t="str">
        <f>F73</f>
        <v xml:space="preserve">H&amp;M HENNES &amp; MAURITZ GBC AB C/O
H &amp; M HENNES &amp; MAURITZ JAPAN K K, 
GLP KAWASAKI
3-1-4 IKEGAMI-SHINCHO
KAWASAKI-KU, KAWASKI CITY,
KANAGAWA  210-0832
JAPAN
ATTN : Daisuke Sakai
TEL : +81 (44)2804260
DLIMPEX-JP@hm.com </v>
      </c>
      <c r="G75" s="21" t="s">
        <v>328</v>
      </c>
      <c r="H75" s="23">
        <v>97700</v>
      </c>
      <c r="I75" s="23" t="s">
        <v>324</v>
      </c>
    </row>
    <row r="76" spans="1:9" ht="16" x14ac:dyDescent="0.2">
      <c r="A76" s="28" t="s">
        <v>317</v>
      </c>
      <c r="B76" s="28" t="s">
        <v>332</v>
      </c>
      <c r="C76" s="28" t="s">
        <v>333</v>
      </c>
      <c r="D76" s="28" t="s">
        <v>334</v>
      </c>
      <c r="E76" s="29" t="s">
        <v>321</v>
      </c>
      <c r="F76" s="30" t="s">
        <v>328</v>
      </c>
      <c r="G76" s="30" t="s">
        <v>328</v>
      </c>
      <c r="H76" s="31">
        <v>97700</v>
      </c>
      <c r="I76" s="31" t="s">
        <v>324</v>
      </c>
    </row>
    <row r="77" spans="1:9" ht="105" x14ac:dyDescent="0.2">
      <c r="A77" s="19" t="s">
        <v>335</v>
      </c>
      <c r="B77" s="19" t="s">
        <v>336</v>
      </c>
      <c r="C77" s="19" t="s">
        <v>337</v>
      </c>
      <c r="D77" s="19" t="s">
        <v>338</v>
      </c>
      <c r="E77" s="20" t="s">
        <v>339</v>
      </c>
      <c r="F77" s="22" t="s">
        <v>340</v>
      </c>
      <c r="G77" s="22" t="s">
        <v>341</v>
      </c>
      <c r="H77" s="23">
        <v>1161150464</v>
      </c>
      <c r="I77" s="23" t="s">
        <v>244</v>
      </c>
    </row>
    <row r="78" spans="1:9" ht="16" x14ac:dyDescent="0.2">
      <c r="A78" s="19" t="s">
        <v>335</v>
      </c>
      <c r="B78" s="19" t="s">
        <v>342</v>
      </c>
      <c r="C78" s="19" t="s">
        <v>343</v>
      </c>
      <c r="D78" s="19" t="s">
        <v>344</v>
      </c>
      <c r="E78" s="20" t="s">
        <v>339</v>
      </c>
      <c r="F78" s="21" t="s">
        <v>345</v>
      </c>
      <c r="G78" s="21" t="s">
        <v>345</v>
      </c>
      <c r="H78" s="23">
        <v>1161150464</v>
      </c>
      <c r="I78" s="23" t="s">
        <v>244</v>
      </c>
    </row>
    <row r="79" spans="1:9" ht="16" x14ac:dyDescent="0.2">
      <c r="A79" s="19" t="s">
        <v>335</v>
      </c>
      <c r="B79" s="19" t="s">
        <v>346</v>
      </c>
      <c r="C79" s="57" t="s">
        <v>347</v>
      </c>
      <c r="D79" s="57" t="s">
        <v>348</v>
      </c>
      <c r="E79" s="20" t="s">
        <v>339</v>
      </c>
      <c r="F79" s="21" t="s">
        <v>345</v>
      </c>
      <c r="G79" s="21" t="s">
        <v>345</v>
      </c>
      <c r="H79" s="23">
        <v>1161150464</v>
      </c>
      <c r="I79" s="23" t="s">
        <v>244</v>
      </c>
    </row>
    <row r="80" spans="1:9" ht="16" x14ac:dyDescent="0.2">
      <c r="A80" s="104" t="s">
        <v>335</v>
      </c>
      <c r="B80" s="104" t="s">
        <v>349</v>
      </c>
      <c r="C80" s="104" t="s">
        <v>350</v>
      </c>
      <c r="D80" s="108" t="s">
        <v>351</v>
      </c>
      <c r="E80" s="109" t="s">
        <v>339</v>
      </c>
      <c r="F80" s="99" t="s">
        <v>345</v>
      </c>
      <c r="G80" s="99" t="s">
        <v>345</v>
      </c>
      <c r="H80" s="23">
        <v>1161150464</v>
      </c>
      <c r="I80" s="110"/>
    </row>
    <row r="81" spans="1:9" ht="121.5" customHeight="1" x14ac:dyDescent="0.2">
      <c r="A81" s="48" t="s">
        <v>335</v>
      </c>
      <c r="B81" s="48" t="s">
        <v>352</v>
      </c>
      <c r="C81" s="48" t="s">
        <v>353</v>
      </c>
      <c r="D81" s="48" t="s">
        <v>354</v>
      </c>
      <c r="E81" s="48" t="s">
        <v>339</v>
      </c>
      <c r="F81" s="99" t="s">
        <v>355</v>
      </c>
      <c r="G81" s="99" t="s">
        <v>355</v>
      </c>
      <c r="H81" s="23" t="s">
        <v>356</v>
      </c>
      <c r="I81" s="23" t="s">
        <v>357</v>
      </c>
    </row>
    <row r="82" spans="1:9" ht="16" x14ac:dyDescent="0.2">
      <c r="A82" s="24" t="s">
        <v>335</v>
      </c>
      <c r="B82" s="100" t="s">
        <v>358</v>
      </c>
      <c r="C82" s="105" t="s">
        <v>359</v>
      </c>
      <c r="D82" s="105" t="s">
        <v>360</v>
      </c>
      <c r="E82" s="106" t="s">
        <v>339</v>
      </c>
      <c r="F82" s="107" t="s">
        <v>361</v>
      </c>
      <c r="G82" s="107" t="s">
        <v>361</v>
      </c>
      <c r="H82" s="27" t="s">
        <v>356</v>
      </c>
      <c r="I82" s="27" t="s">
        <v>357</v>
      </c>
    </row>
    <row r="83" spans="1:9" ht="135" x14ac:dyDescent="0.2">
      <c r="A83" s="101" t="s">
        <v>362</v>
      </c>
      <c r="B83" s="42" t="s">
        <v>363</v>
      </c>
      <c r="C83" s="42" t="s">
        <v>364</v>
      </c>
      <c r="D83" s="42" t="s">
        <v>365</v>
      </c>
      <c r="E83" s="42" t="s">
        <v>366</v>
      </c>
      <c r="F83" s="102" t="s">
        <v>845</v>
      </c>
      <c r="G83" s="102" t="s">
        <v>367</v>
      </c>
      <c r="H83" s="102" t="s">
        <v>368</v>
      </c>
      <c r="I83" s="103" t="s">
        <v>369</v>
      </c>
    </row>
    <row r="84" spans="1:9" ht="135" x14ac:dyDescent="0.2">
      <c r="A84" s="19" t="s">
        <v>362</v>
      </c>
      <c r="B84" s="19" t="s">
        <v>370</v>
      </c>
      <c r="C84" s="19" t="s">
        <v>371</v>
      </c>
      <c r="D84" s="19" t="s">
        <v>372</v>
      </c>
      <c r="E84" s="20" t="s">
        <v>366</v>
      </c>
      <c r="F84" s="21" t="str">
        <f>F83</f>
        <v xml:space="preserve">H&amp;M Hennes &amp; Mauritz Servicios SA DE CV
Montes Urales #745 Piso 5
Lomas De Chapultepec
1era Seccion,  Miguel Hidalgo
CP 11000 Ciudad de Mexico, Mexico
TAX ID: HAM120221P51
DLIMPEX-MX2@hm.com
</v>
      </c>
      <c r="G84" s="21" t="s">
        <v>373</v>
      </c>
      <c r="H84" s="21" t="s">
        <v>374</v>
      </c>
      <c r="I84" s="23" t="s">
        <v>369</v>
      </c>
    </row>
    <row r="85" spans="1:9" ht="16" x14ac:dyDescent="0.2">
      <c r="A85" s="28" t="s">
        <v>362</v>
      </c>
      <c r="B85" s="28" t="s">
        <v>375</v>
      </c>
      <c r="C85" s="28" t="s">
        <v>376</v>
      </c>
      <c r="D85" s="28" t="s">
        <v>377</v>
      </c>
      <c r="E85" s="29" t="s">
        <v>366</v>
      </c>
      <c r="F85" s="30" t="s">
        <v>373</v>
      </c>
      <c r="G85" s="30" t="s">
        <v>373</v>
      </c>
      <c r="H85" s="30" t="s">
        <v>374</v>
      </c>
      <c r="I85" s="31" t="s">
        <v>369</v>
      </c>
    </row>
    <row r="86" spans="1:9" ht="135" x14ac:dyDescent="0.2">
      <c r="A86" s="19" t="s">
        <v>378</v>
      </c>
      <c r="B86" s="19" t="s">
        <v>379</v>
      </c>
      <c r="C86" s="19" t="s">
        <v>380</v>
      </c>
      <c r="D86" s="19" t="s">
        <v>381</v>
      </c>
      <c r="E86" s="20" t="s">
        <v>382</v>
      </c>
      <c r="F86" s="21" t="s">
        <v>383</v>
      </c>
      <c r="G86" s="21" t="s">
        <v>384</v>
      </c>
    </row>
    <row r="87" spans="1:9" ht="16" x14ac:dyDescent="0.2">
      <c r="A87" s="19" t="s">
        <v>378</v>
      </c>
      <c r="B87" s="19" t="s">
        <v>379</v>
      </c>
      <c r="C87" s="19" t="s">
        <v>385</v>
      </c>
      <c r="D87" s="19" t="s">
        <v>381</v>
      </c>
      <c r="E87" s="20" t="s">
        <v>382</v>
      </c>
      <c r="F87" s="21" t="s">
        <v>386</v>
      </c>
      <c r="G87" s="21" t="s">
        <v>386</v>
      </c>
      <c r="H87" s="21"/>
      <c r="I87" s="21"/>
    </row>
    <row r="88" spans="1:9" ht="135" x14ac:dyDescent="0.2">
      <c r="A88" s="19" t="s">
        <v>378</v>
      </c>
      <c r="B88" s="19" t="s">
        <v>387</v>
      </c>
      <c r="C88" s="19" t="s">
        <v>388</v>
      </c>
      <c r="D88" s="19" t="s">
        <v>389</v>
      </c>
      <c r="E88" s="20" t="s">
        <v>382</v>
      </c>
      <c r="F88" s="21" t="str">
        <f>F86</f>
        <v>LOGIX FZCO
SOUTH ZONE, Plot No.S21515
PO BOX 261422, 
JEBEL ALI FREEZONE,
DUBAI, UAE
ATTN: LYN MATHEWS 
Tel: +9714 8038828
tariq.ahmad@alshaya.com
Shipping.logix@alshaya.com</v>
      </c>
      <c r="G88" s="21" t="s">
        <v>386</v>
      </c>
      <c r="H88" s="21"/>
      <c r="I88" s="21"/>
    </row>
    <row r="89" spans="1:9" ht="16" x14ac:dyDescent="0.2">
      <c r="A89" s="19" t="s">
        <v>378</v>
      </c>
      <c r="B89" s="19" t="s">
        <v>390</v>
      </c>
      <c r="C89" s="19" t="s">
        <v>391</v>
      </c>
      <c r="D89" s="19" t="s">
        <v>392</v>
      </c>
      <c r="E89" s="20" t="s">
        <v>382</v>
      </c>
      <c r="F89" s="21" t="s">
        <v>386</v>
      </c>
      <c r="G89" s="21" t="s">
        <v>386</v>
      </c>
      <c r="H89" s="21"/>
      <c r="I89" s="21"/>
    </row>
    <row r="90" spans="1:9" ht="16" x14ac:dyDescent="0.2">
      <c r="A90" s="24" t="s">
        <v>378</v>
      </c>
      <c r="B90" s="24" t="s">
        <v>393</v>
      </c>
      <c r="C90" s="24" t="s">
        <v>394</v>
      </c>
      <c r="D90" s="24" t="s">
        <v>395</v>
      </c>
      <c r="E90" s="25" t="s">
        <v>382</v>
      </c>
      <c r="F90" s="26" t="s">
        <v>386</v>
      </c>
      <c r="G90" s="26" t="s">
        <v>386</v>
      </c>
      <c r="H90" s="26"/>
      <c r="I90" s="26"/>
    </row>
    <row r="91" spans="1:9" ht="123.75" customHeight="1" x14ac:dyDescent="0.2">
      <c r="A91" s="19" t="s">
        <v>396</v>
      </c>
      <c r="B91" s="19" t="s">
        <v>397</v>
      </c>
      <c r="C91" s="19" t="s">
        <v>398</v>
      </c>
      <c r="D91" s="19" t="s">
        <v>399</v>
      </c>
      <c r="E91" s="20" t="s">
        <v>400</v>
      </c>
      <c r="F91" s="21" t="s">
        <v>401</v>
      </c>
      <c r="G91" s="21" t="s">
        <v>402</v>
      </c>
      <c r="H91" s="23" t="s">
        <v>403</v>
      </c>
      <c r="I91" s="23" t="s">
        <v>44</v>
      </c>
    </row>
    <row r="92" spans="1:9" ht="16" x14ac:dyDescent="0.2">
      <c r="A92" s="19" t="s">
        <v>396</v>
      </c>
      <c r="B92" s="19" t="s">
        <v>234</v>
      </c>
      <c r="C92" s="19" t="s">
        <v>404</v>
      </c>
      <c r="D92" s="19" t="s">
        <v>405</v>
      </c>
      <c r="E92" s="20" t="s">
        <v>400</v>
      </c>
      <c r="F92" s="21" t="s">
        <v>406</v>
      </c>
      <c r="G92" s="21" t="s">
        <v>406</v>
      </c>
      <c r="H92" s="23" t="s">
        <v>403</v>
      </c>
      <c r="I92" s="23" t="s">
        <v>44</v>
      </c>
    </row>
    <row r="93" spans="1:9" ht="16" x14ac:dyDescent="0.2">
      <c r="A93" s="19" t="s">
        <v>396</v>
      </c>
      <c r="B93" s="19" t="s">
        <v>407</v>
      </c>
      <c r="C93" s="19" t="s">
        <v>408</v>
      </c>
      <c r="D93" s="19" t="s">
        <v>409</v>
      </c>
      <c r="E93" s="20" t="s">
        <v>400</v>
      </c>
      <c r="F93" s="21" t="s">
        <v>406</v>
      </c>
      <c r="G93" s="21" t="s">
        <v>406</v>
      </c>
      <c r="H93" s="23" t="s">
        <v>403</v>
      </c>
      <c r="I93" s="23" t="s">
        <v>44</v>
      </c>
    </row>
    <row r="94" spans="1:9" ht="16" x14ac:dyDescent="0.2">
      <c r="A94" s="19" t="s">
        <v>396</v>
      </c>
      <c r="B94" s="19" t="s">
        <v>410</v>
      </c>
      <c r="C94" s="19" t="s">
        <v>411</v>
      </c>
      <c r="D94" s="19" t="s">
        <v>412</v>
      </c>
      <c r="E94" s="20" t="s">
        <v>400</v>
      </c>
      <c r="F94" s="21" t="s">
        <v>406</v>
      </c>
      <c r="G94" s="21" t="s">
        <v>406</v>
      </c>
      <c r="H94" s="23" t="s">
        <v>403</v>
      </c>
      <c r="I94" s="23" t="s">
        <v>44</v>
      </c>
    </row>
    <row r="95" spans="1:9" ht="16" x14ac:dyDescent="0.2">
      <c r="A95" s="19" t="s">
        <v>396</v>
      </c>
      <c r="B95" s="19" t="s">
        <v>413</v>
      </c>
      <c r="C95" s="19" t="s">
        <v>414</v>
      </c>
      <c r="D95" s="19" t="s">
        <v>415</v>
      </c>
      <c r="E95" s="20" t="s">
        <v>400</v>
      </c>
      <c r="F95" s="21" t="s">
        <v>406</v>
      </c>
      <c r="G95" s="21" t="s">
        <v>406</v>
      </c>
      <c r="H95" s="23" t="s">
        <v>403</v>
      </c>
      <c r="I95" s="23" t="s">
        <v>44</v>
      </c>
    </row>
    <row r="96" spans="1:9" ht="16" x14ac:dyDescent="0.2">
      <c r="A96" s="19" t="s">
        <v>396</v>
      </c>
      <c r="B96" s="19" t="s">
        <v>416</v>
      </c>
      <c r="C96" s="19" t="s">
        <v>417</v>
      </c>
      <c r="D96" s="19" t="s">
        <v>418</v>
      </c>
      <c r="E96" s="20" t="s">
        <v>400</v>
      </c>
      <c r="F96" s="21" t="s">
        <v>406</v>
      </c>
      <c r="G96" s="21" t="s">
        <v>406</v>
      </c>
      <c r="H96" s="23" t="s">
        <v>403</v>
      </c>
      <c r="I96" s="23" t="s">
        <v>44</v>
      </c>
    </row>
    <row r="97" spans="1:9" ht="16" x14ac:dyDescent="0.2">
      <c r="A97" s="19" t="s">
        <v>396</v>
      </c>
      <c r="B97" s="19" t="s">
        <v>419</v>
      </c>
      <c r="C97" s="19" t="s">
        <v>420</v>
      </c>
      <c r="D97" s="19" t="s">
        <v>421</v>
      </c>
      <c r="E97" s="20" t="s">
        <v>400</v>
      </c>
      <c r="F97" s="21" t="s">
        <v>406</v>
      </c>
      <c r="G97" s="21" t="s">
        <v>406</v>
      </c>
      <c r="H97" s="23" t="s">
        <v>403</v>
      </c>
      <c r="I97" s="23" t="s">
        <v>44</v>
      </c>
    </row>
    <row r="98" spans="1:9" ht="16" x14ac:dyDescent="0.2">
      <c r="A98" s="19" t="s">
        <v>396</v>
      </c>
      <c r="B98" s="19" t="s">
        <v>422</v>
      </c>
      <c r="C98" s="19" t="s">
        <v>423</v>
      </c>
      <c r="D98" s="19" t="s">
        <v>424</v>
      </c>
      <c r="E98" s="20" t="s">
        <v>400</v>
      </c>
      <c r="F98" s="21" t="s">
        <v>406</v>
      </c>
      <c r="G98" s="21" t="s">
        <v>406</v>
      </c>
      <c r="H98" s="23" t="s">
        <v>403</v>
      </c>
      <c r="I98" s="23" t="s">
        <v>44</v>
      </c>
    </row>
    <row r="99" spans="1:9" ht="16" x14ac:dyDescent="0.2">
      <c r="A99" s="19" t="s">
        <v>396</v>
      </c>
      <c r="B99" s="19" t="s">
        <v>425</v>
      </c>
      <c r="C99" s="19" t="s">
        <v>426</v>
      </c>
      <c r="D99" s="19" t="s">
        <v>427</v>
      </c>
      <c r="E99" s="20" t="s">
        <v>400</v>
      </c>
      <c r="F99" s="21" t="s">
        <v>406</v>
      </c>
      <c r="G99" s="21" t="s">
        <v>406</v>
      </c>
      <c r="H99" s="23" t="s">
        <v>403</v>
      </c>
      <c r="I99" s="23" t="s">
        <v>44</v>
      </c>
    </row>
    <row r="100" spans="1:9" ht="16" x14ac:dyDescent="0.2">
      <c r="A100" s="114" t="s">
        <v>396</v>
      </c>
      <c r="B100" s="114" t="s">
        <v>307</v>
      </c>
      <c r="C100" s="114" t="s">
        <v>428</v>
      </c>
      <c r="D100" s="114" t="s">
        <v>429</v>
      </c>
      <c r="E100" s="20" t="s">
        <v>400</v>
      </c>
      <c r="F100" s="21" t="s">
        <v>406</v>
      </c>
      <c r="G100" s="21" t="s">
        <v>406</v>
      </c>
      <c r="H100" s="23" t="s">
        <v>403</v>
      </c>
      <c r="I100" s="23" t="s">
        <v>44</v>
      </c>
    </row>
    <row r="101" spans="1:9" ht="120" x14ac:dyDescent="0.2">
      <c r="A101" s="32" t="s">
        <v>430</v>
      </c>
      <c r="B101" s="32" t="s">
        <v>431</v>
      </c>
      <c r="C101" s="32" t="s">
        <v>432</v>
      </c>
      <c r="D101" s="32" t="s">
        <v>433</v>
      </c>
      <c r="E101" s="33" t="s">
        <v>283</v>
      </c>
      <c r="F101" s="34" t="s">
        <v>284</v>
      </c>
      <c r="G101" s="34" t="s">
        <v>284</v>
      </c>
      <c r="H101" s="35">
        <v>1501614080</v>
      </c>
      <c r="I101" s="35" t="s">
        <v>285</v>
      </c>
    </row>
    <row r="102" spans="1:9" ht="96" x14ac:dyDescent="0.2">
      <c r="A102" s="32" t="s">
        <v>434</v>
      </c>
      <c r="B102" s="32" t="s">
        <v>435</v>
      </c>
      <c r="C102" s="32" t="s">
        <v>436</v>
      </c>
      <c r="D102" s="32" t="s">
        <v>437</v>
      </c>
      <c r="E102" s="33" t="s">
        <v>438</v>
      </c>
      <c r="F102" s="120" t="s">
        <v>439</v>
      </c>
      <c r="G102" s="112" t="s">
        <v>440</v>
      </c>
      <c r="H102" s="35">
        <v>20555881551</v>
      </c>
      <c r="I102" s="35" t="s">
        <v>441</v>
      </c>
    </row>
    <row r="103" spans="1:9" ht="210" x14ac:dyDescent="0.2">
      <c r="A103" s="19" t="s">
        <v>442</v>
      </c>
      <c r="B103" s="19" t="s">
        <v>443</v>
      </c>
      <c r="C103" s="19" t="s">
        <v>444</v>
      </c>
      <c r="D103" s="19" t="s">
        <v>445</v>
      </c>
      <c r="E103" s="20" t="s">
        <v>446</v>
      </c>
      <c r="F103" s="21" t="s">
        <v>447</v>
      </c>
      <c r="G103" s="140" t="s">
        <v>448</v>
      </c>
      <c r="H103" s="23" t="s">
        <v>449</v>
      </c>
      <c r="I103" s="23" t="s">
        <v>450</v>
      </c>
    </row>
    <row r="104" spans="1:9" ht="16" x14ac:dyDescent="0.2">
      <c r="A104" s="28" t="s">
        <v>442</v>
      </c>
      <c r="B104" s="28" t="s">
        <v>451</v>
      </c>
      <c r="C104" s="28" t="s">
        <v>452</v>
      </c>
      <c r="D104" s="28" t="s">
        <v>453</v>
      </c>
      <c r="E104" s="29" t="s">
        <v>446</v>
      </c>
      <c r="F104" s="30" t="s">
        <v>454</v>
      </c>
      <c r="G104" s="30" t="s">
        <v>454</v>
      </c>
      <c r="H104" s="31" t="s">
        <v>449</v>
      </c>
      <c r="I104" s="31" t="s">
        <v>450</v>
      </c>
    </row>
    <row r="105" spans="1:9" ht="93" customHeight="1" x14ac:dyDescent="0.2">
      <c r="A105" s="19" t="s">
        <v>455</v>
      </c>
      <c r="B105" s="19" t="s">
        <v>456</v>
      </c>
      <c r="C105" s="19" t="s">
        <v>457</v>
      </c>
      <c r="D105" s="48" t="s">
        <v>458</v>
      </c>
      <c r="E105" s="20" t="s">
        <v>459</v>
      </c>
      <c r="F105" s="21" t="s">
        <v>460</v>
      </c>
      <c r="G105" s="21" t="s">
        <v>460</v>
      </c>
      <c r="H105" s="23">
        <v>15292063</v>
      </c>
      <c r="I105" s="23" t="s">
        <v>461</v>
      </c>
    </row>
    <row r="106" spans="1:9" ht="90" x14ac:dyDescent="0.2">
      <c r="A106" s="19" t="s">
        <v>455</v>
      </c>
      <c r="B106" s="19" t="s">
        <v>314</v>
      </c>
      <c r="C106" s="19" t="s">
        <v>462</v>
      </c>
      <c r="D106" s="19" t="s">
        <v>463</v>
      </c>
      <c r="E106" s="20" t="s">
        <v>459</v>
      </c>
      <c r="F106" s="21" t="s">
        <v>460</v>
      </c>
      <c r="G106" s="21" t="s">
        <v>464</v>
      </c>
      <c r="H106" s="23">
        <v>15292063</v>
      </c>
      <c r="I106" s="23" t="s">
        <v>461</v>
      </c>
    </row>
    <row r="107" spans="1:9" ht="90" x14ac:dyDescent="0.2">
      <c r="A107" s="19" t="s">
        <v>455</v>
      </c>
      <c r="B107" s="19" t="s">
        <v>397</v>
      </c>
      <c r="C107" s="19" t="s">
        <v>465</v>
      </c>
      <c r="D107" s="19" t="s">
        <v>466</v>
      </c>
      <c r="E107" s="20" t="s">
        <v>459</v>
      </c>
      <c r="F107" s="21" t="s">
        <v>460</v>
      </c>
      <c r="G107" s="21" t="s">
        <v>464</v>
      </c>
      <c r="H107" s="23">
        <v>15292063</v>
      </c>
      <c r="I107" s="23" t="s">
        <v>461</v>
      </c>
    </row>
    <row r="108" spans="1:9" ht="90" x14ac:dyDescent="0.2">
      <c r="A108" s="19" t="s">
        <v>455</v>
      </c>
      <c r="B108" s="19" t="s">
        <v>467</v>
      </c>
      <c r="C108" s="19" t="s">
        <v>468</v>
      </c>
      <c r="D108" s="19" t="s">
        <v>469</v>
      </c>
      <c r="E108" s="20" t="s">
        <v>459</v>
      </c>
      <c r="F108" s="21" t="s">
        <v>460</v>
      </c>
      <c r="G108" s="21" t="s">
        <v>464</v>
      </c>
      <c r="H108" s="23">
        <v>15292063</v>
      </c>
      <c r="I108" s="23" t="s">
        <v>461</v>
      </c>
    </row>
    <row r="109" spans="1:9" ht="16" x14ac:dyDescent="0.2">
      <c r="A109" s="52" t="s">
        <v>470</v>
      </c>
      <c r="B109" s="53" t="s">
        <v>413</v>
      </c>
      <c r="C109" s="53" t="s">
        <v>471</v>
      </c>
      <c r="D109" s="53" t="s">
        <v>472</v>
      </c>
      <c r="E109" s="53" t="s">
        <v>459</v>
      </c>
      <c r="F109" s="54" t="s">
        <v>464</v>
      </c>
      <c r="G109" s="54" t="s">
        <v>464</v>
      </c>
      <c r="H109" s="97">
        <v>15292063</v>
      </c>
      <c r="I109" s="56" t="s">
        <v>461</v>
      </c>
    </row>
    <row r="110" spans="1:9" ht="90" x14ac:dyDescent="0.2">
      <c r="A110" s="19" t="s">
        <v>455</v>
      </c>
      <c r="B110" s="19" t="s">
        <v>397</v>
      </c>
      <c r="C110" s="19" t="s">
        <v>473</v>
      </c>
      <c r="D110" s="19" t="s">
        <v>474</v>
      </c>
      <c r="E110" s="20" t="s">
        <v>459</v>
      </c>
      <c r="F110" s="21" t="s">
        <v>460</v>
      </c>
      <c r="G110" s="21" t="s">
        <v>464</v>
      </c>
      <c r="H110" s="23">
        <v>15292063</v>
      </c>
      <c r="I110" s="23" t="s">
        <v>461</v>
      </c>
    </row>
    <row r="111" spans="1:9" ht="16" x14ac:dyDescent="0.2">
      <c r="A111" s="19" t="s">
        <v>470</v>
      </c>
      <c r="B111" s="19" t="s">
        <v>475</v>
      </c>
      <c r="C111" s="19" t="s">
        <v>476</v>
      </c>
      <c r="D111" s="19" t="s">
        <v>477</v>
      </c>
      <c r="E111" s="20" t="s">
        <v>459</v>
      </c>
      <c r="F111" s="21" t="s">
        <v>464</v>
      </c>
      <c r="G111" s="21" t="s">
        <v>464</v>
      </c>
      <c r="H111" s="23">
        <v>15292063</v>
      </c>
      <c r="I111" s="23" t="s">
        <v>461</v>
      </c>
    </row>
    <row r="112" spans="1:9" ht="90" x14ac:dyDescent="0.2">
      <c r="A112" s="104" t="s">
        <v>470</v>
      </c>
      <c r="B112" s="104" t="s">
        <v>150</v>
      </c>
      <c r="C112" s="104" t="s">
        <v>478</v>
      </c>
      <c r="D112" s="104" t="s">
        <v>479</v>
      </c>
      <c r="E112" s="141" t="s">
        <v>480</v>
      </c>
      <c r="F112" s="21" t="s">
        <v>460</v>
      </c>
      <c r="G112" s="21" t="s">
        <v>464</v>
      </c>
      <c r="H112" s="140">
        <v>15292063</v>
      </c>
      <c r="I112" s="140" t="s">
        <v>461</v>
      </c>
    </row>
    <row r="113" spans="1:9" ht="16" x14ac:dyDescent="0.2">
      <c r="A113" s="104" t="s">
        <v>470</v>
      </c>
      <c r="B113" s="143" t="s">
        <v>416</v>
      </c>
      <c r="C113" s="143" t="s">
        <v>481</v>
      </c>
      <c r="D113" s="143" t="s">
        <v>482</v>
      </c>
      <c r="E113" s="141" t="s">
        <v>480</v>
      </c>
      <c r="F113" s="21" t="s">
        <v>464</v>
      </c>
      <c r="G113" s="21" t="s">
        <v>464</v>
      </c>
      <c r="H113" s="140">
        <v>15292063</v>
      </c>
      <c r="I113" s="140" t="s">
        <v>461</v>
      </c>
    </row>
    <row r="114" spans="1:9" ht="16" x14ac:dyDescent="0.2">
      <c r="A114" s="104" t="s">
        <v>470</v>
      </c>
      <c r="B114" s="143" t="s">
        <v>419</v>
      </c>
      <c r="C114" s="143" t="s">
        <v>483</v>
      </c>
      <c r="D114" s="143" t="s">
        <v>484</v>
      </c>
      <c r="E114" s="141" t="s">
        <v>480</v>
      </c>
      <c r="F114" s="21" t="s">
        <v>464</v>
      </c>
      <c r="G114" s="21" t="s">
        <v>464</v>
      </c>
      <c r="H114" s="140">
        <v>15292063</v>
      </c>
      <c r="I114" s="140" t="s">
        <v>461</v>
      </c>
    </row>
    <row r="115" spans="1:9" ht="16" x14ac:dyDescent="0.2">
      <c r="A115" s="104" t="s">
        <v>470</v>
      </c>
      <c r="B115" s="143" t="s">
        <v>422</v>
      </c>
      <c r="C115" s="143" t="s">
        <v>485</v>
      </c>
      <c r="D115" s="143" t="s">
        <v>486</v>
      </c>
      <c r="E115" s="141" t="s">
        <v>480</v>
      </c>
      <c r="F115" s="21" t="s">
        <v>464</v>
      </c>
      <c r="G115" s="21" t="s">
        <v>464</v>
      </c>
      <c r="H115" s="140">
        <v>15292063</v>
      </c>
      <c r="I115" s="140" t="s">
        <v>461</v>
      </c>
    </row>
    <row r="116" spans="1:9" ht="16" x14ac:dyDescent="0.2">
      <c r="A116" s="104" t="s">
        <v>470</v>
      </c>
      <c r="B116" s="143" t="s">
        <v>413</v>
      </c>
      <c r="C116" s="143" t="s">
        <v>487</v>
      </c>
      <c r="D116" s="143" t="s">
        <v>488</v>
      </c>
      <c r="E116" s="141" t="s">
        <v>480</v>
      </c>
      <c r="F116" s="21" t="s">
        <v>464</v>
      </c>
      <c r="G116" s="21" t="s">
        <v>464</v>
      </c>
      <c r="H116" s="140">
        <v>15292063</v>
      </c>
      <c r="I116" s="140" t="s">
        <v>461</v>
      </c>
    </row>
    <row r="117" spans="1:9" ht="16" x14ac:dyDescent="0.2">
      <c r="A117" s="104" t="s">
        <v>470</v>
      </c>
      <c r="B117" s="151" t="s">
        <v>234</v>
      </c>
      <c r="C117" s="151" t="s">
        <v>489</v>
      </c>
      <c r="D117" s="151" t="s">
        <v>490</v>
      </c>
      <c r="E117" s="141" t="s">
        <v>480</v>
      </c>
      <c r="F117" s="21" t="s">
        <v>464</v>
      </c>
      <c r="G117" s="21" t="s">
        <v>464</v>
      </c>
      <c r="H117" s="140">
        <v>15292063</v>
      </c>
      <c r="I117" s="140" t="s">
        <v>461</v>
      </c>
    </row>
    <row r="118" spans="1:9" ht="16" x14ac:dyDescent="0.2">
      <c r="A118" s="104" t="s">
        <v>470</v>
      </c>
      <c r="B118" s="151" t="s">
        <v>407</v>
      </c>
      <c r="C118" s="151" t="s">
        <v>491</v>
      </c>
      <c r="D118" s="151" t="s">
        <v>492</v>
      </c>
      <c r="E118" s="141" t="s">
        <v>480</v>
      </c>
      <c r="F118" s="21" t="s">
        <v>464</v>
      </c>
      <c r="G118" s="21" t="s">
        <v>464</v>
      </c>
      <c r="H118" s="140">
        <v>15292063</v>
      </c>
      <c r="I118" s="140" t="s">
        <v>461</v>
      </c>
    </row>
    <row r="119" spans="1:9" ht="16" x14ac:dyDescent="0.2">
      <c r="A119" s="104" t="s">
        <v>470</v>
      </c>
      <c r="B119" s="151" t="s">
        <v>410</v>
      </c>
      <c r="C119" s="151" t="s">
        <v>493</v>
      </c>
      <c r="D119" s="151" t="s">
        <v>494</v>
      </c>
      <c r="E119" s="141" t="s">
        <v>480</v>
      </c>
      <c r="F119" s="21" t="s">
        <v>464</v>
      </c>
      <c r="G119" s="21" t="s">
        <v>464</v>
      </c>
      <c r="H119" s="140">
        <v>15292063</v>
      </c>
      <c r="I119" s="140" t="s">
        <v>461</v>
      </c>
    </row>
    <row r="120" spans="1:9" ht="16" x14ac:dyDescent="0.2">
      <c r="A120" s="104" t="s">
        <v>470</v>
      </c>
      <c r="B120" s="151" t="s">
        <v>425</v>
      </c>
      <c r="C120" s="151" t="s">
        <v>495</v>
      </c>
      <c r="D120" s="151" t="s">
        <v>496</v>
      </c>
      <c r="E120" s="141" t="s">
        <v>480</v>
      </c>
      <c r="F120" s="21" t="s">
        <v>464</v>
      </c>
      <c r="G120" s="21" t="s">
        <v>464</v>
      </c>
      <c r="H120" s="140">
        <v>15292063</v>
      </c>
      <c r="I120" s="140" t="s">
        <v>461</v>
      </c>
    </row>
    <row r="121" spans="1:9" ht="90" x14ac:dyDescent="0.2">
      <c r="A121" s="28" t="s">
        <v>497</v>
      </c>
      <c r="B121" s="28" t="s">
        <v>498</v>
      </c>
      <c r="C121" s="28" t="s">
        <v>499</v>
      </c>
      <c r="D121" s="28" t="s">
        <v>500</v>
      </c>
      <c r="E121" s="29" t="s">
        <v>501</v>
      </c>
      <c r="F121" s="30" t="s">
        <v>502</v>
      </c>
      <c r="G121" s="30" t="s">
        <v>503</v>
      </c>
      <c r="H121" s="31" t="s">
        <v>504</v>
      </c>
      <c r="I121" s="31" t="s">
        <v>505</v>
      </c>
    </row>
    <row r="122" spans="1:9" ht="120.75" customHeight="1" x14ac:dyDescent="0.2">
      <c r="A122" s="32" t="s">
        <v>283</v>
      </c>
      <c r="B122" s="32" t="s">
        <v>506</v>
      </c>
      <c r="C122" s="32" t="s">
        <v>217</v>
      </c>
      <c r="D122" s="32" t="s">
        <v>507</v>
      </c>
      <c r="E122" s="33" t="s">
        <v>283</v>
      </c>
      <c r="F122" s="34" t="s">
        <v>508</v>
      </c>
      <c r="G122" s="34" t="s">
        <v>509</v>
      </c>
      <c r="H122" s="35">
        <v>1501614080</v>
      </c>
      <c r="I122" s="35" t="s">
        <v>285</v>
      </c>
    </row>
    <row r="123" spans="1:9" ht="128" x14ac:dyDescent="0.2">
      <c r="A123" s="32" t="s">
        <v>510</v>
      </c>
      <c r="B123" s="32" t="s">
        <v>511</v>
      </c>
      <c r="C123" s="32" t="s">
        <v>512</v>
      </c>
      <c r="D123" s="32" t="s">
        <v>513</v>
      </c>
      <c r="E123" s="33" t="s">
        <v>514</v>
      </c>
      <c r="F123" s="111" t="s">
        <v>515</v>
      </c>
      <c r="G123" s="96" t="s">
        <v>516</v>
      </c>
      <c r="H123" s="35">
        <v>4150269324</v>
      </c>
      <c r="I123" s="35" t="s">
        <v>505</v>
      </c>
    </row>
    <row r="124" spans="1:9" ht="105" x14ac:dyDescent="0.2">
      <c r="A124" s="19" t="s">
        <v>517</v>
      </c>
      <c r="B124" s="19" t="s">
        <v>518</v>
      </c>
      <c r="C124" s="19" t="s">
        <v>519</v>
      </c>
      <c r="D124" s="19" t="s">
        <v>520</v>
      </c>
      <c r="E124" s="20" t="s">
        <v>521</v>
      </c>
      <c r="F124" s="21" t="s">
        <v>522</v>
      </c>
      <c r="G124" s="21" t="s">
        <v>523</v>
      </c>
      <c r="H124" s="23">
        <v>2208783339</v>
      </c>
      <c r="I124" s="23" t="s">
        <v>524</v>
      </c>
    </row>
    <row r="125" spans="1:9" ht="16" x14ac:dyDescent="0.2">
      <c r="A125" s="19" t="s">
        <v>517</v>
      </c>
      <c r="B125" s="19" t="s">
        <v>525</v>
      </c>
      <c r="C125" s="19" t="s">
        <v>526</v>
      </c>
      <c r="D125" s="19" t="s">
        <v>527</v>
      </c>
      <c r="E125" s="20" t="s">
        <v>521</v>
      </c>
      <c r="F125" s="21" t="s">
        <v>528</v>
      </c>
      <c r="G125" s="21" t="s">
        <v>528</v>
      </c>
      <c r="H125" s="23">
        <v>2208783339</v>
      </c>
      <c r="I125" s="23" t="s">
        <v>524</v>
      </c>
    </row>
    <row r="126" spans="1:9" ht="16" x14ac:dyDescent="0.2">
      <c r="A126" s="19" t="s">
        <v>517</v>
      </c>
      <c r="B126" s="19" t="s">
        <v>529</v>
      </c>
      <c r="C126" s="19" t="s">
        <v>530</v>
      </c>
      <c r="D126" s="19" t="s">
        <v>531</v>
      </c>
      <c r="E126" s="20" t="s">
        <v>521</v>
      </c>
      <c r="F126" s="21" t="s">
        <v>528</v>
      </c>
      <c r="G126" s="21" t="s">
        <v>528</v>
      </c>
      <c r="H126" s="23">
        <v>2208783339</v>
      </c>
      <c r="I126" s="23" t="s">
        <v>524</v>
      </c>
    </row>
    <row r="127" spans="1:9" ht="90" x14ac:dyDescent="0.2">
      <c r="A127" s="19" t="s">
        <v>517</v>
      </c>
      <c r="B127" s="19" t="s">
        <v>532</v>
      </c>
      <c r="C127" s="19" t="s">
        <v>533</v>
      </c>
      <c r="D127" s="19" t="s">
        <v>534</v>
      </c>
      <c r="E127" s="20" t="s">
        <v>521</v>
      </c>
      <c r="F127" s="21" t="s">
        <v>522</v>
      </c>
      <c r="G127" s="21" t="s">
        <v>528</v>
      </c>
      <c r="H127" s="23">
        <v>2208783339</v>
      </c>
      <c r="I127" s="23" t="s">
        <v>524</v>
      </c>
    </row>
    <row r="128" spans="1:9" ht="16" x14ac:dyDescent="0.2">
      <c r="A128" s="19" t="s">
        <v>517</v>
      </c>
      <c r="B128" s="19" t="s">
        <v>535</v>
      </c>
      <c r="C128" s="19" t="s">
        <v>536</v>
      </c>
      <c r="D128" s="19" t="s">
        <v>537</v>
      </c>
      <c r="E128" s="20" t="s">
        <v>521</v>
      </c>
      <c r="F128" s="21" t="s">
        <v>528</v>
      </c>
      <c r="G128" s="21" t="s">
        <v>528</v>
      </c>
      <c r="H128" s="23">
        <v>2208783339</v>
      </c>
      <c r="I128" s="23" t="s">
        <v>524</v>
      </c>
    </row>
    <row r="129" spans="1:9" ht="16" x14ac:dyDescent="0.2">
      <c r="A129" s="19" t="s">
        <v>517</v>
      </c>
      <c r="B129" s="19" t="s">
        <v>538</v>
      </c>
      <c r="C129" s="19" t="s">
        <v>539</v>
      </c>
      <c r="D129" s="19" t="s">
        <v>540</v>
      </c>
      <c r="E129" s="20" t="s">
        <v>521</v>
      </c>
      <c r="F129" s="21" t="s">
        <v>528</v>
      </c>
      <c r="G129" s="21" t="s">
        <v>528</v>
      </c>
      <c r="H129" s="23">
        <v>2208783339</v>
      </c>
      <c r="I129" s="23" t="s">
        <v>524</v>
      </c>
    </row>
    <row r="130" spans="1:9" s="2" customFormat="1" ht="16" x14ac:dyDescent="0.15">
      <c r="A130" s="58" t="s">
        <v>517</v>
      </c>
      <c r="B130" s="59" t="s">
        <v>541</v>
      </c>
      <c r="C130" s="59" t="s">
        <v>542</v>
      </c>
      <c r="D130" s="59" t="s">
        <v>543</v>
      </c>
      <c r="E130" s="60" t="s">
        <v>521</v>
      </c>
      <c r="F130" s="61" t="s">
        <v>528</v>
      </c>
      <c r="G130" s="61" t="s">
        <v>544</v>
      </c>
      <c r="H130" s="62">
        <v>2208783339</v>
      </c>
      <c r="I130" s="63" t="s">
        <v>524</v>
      </c>
    </row>
    <row r="131" spans="1:9" s="2" customFormat="1" ht="16" x14ac:dyDescent="0.15">
      <c r="A131" s="64" t="s">
        <v>517</v>
      </c>
      <c r="B131" s="65" t="s">
        <v>545</v>
      </c>
      <c r="C131" s="65" t="s">
        <v>546</v>
      </c>
      <c r="D131" s="65" t="s">
        <v>547</v>
      </c>
      <c r="E131" s="66" t="s">
        <v>521</v>
      </c>
      <c r="F131" s="67" t="s">
        <v>528</v>
      </c>
      <c r="G131" s="67" t="s">
        <v>528</v>
      </c>
      <c r="H131" s="68">
        <v>2208783339</v>
      </c>
      <c r="I131" s="69" t="s">
        <v>524</v>
      </c>
    </row>
    <row r="132" spans="1:9" ht="144" x14ac:dyDescent="0.2">
      <c r="A132" s="48" t="s">
        <v>548</v>
      </c>
      <c r="B132" s="48" t="s">
        <v>37</v>
      </c>
      <c r="C132" s="48" t="s">
        <v>549</v>
      </c>
      <c r="D132" s="48" t="s">
        <v>550</v>
      </c>
      <c r="E132" s="48" t="s">
        <v>551</v>
      </c>
      <c r="F132" s="152" t="s">
        <v>552</v>
      </c>
      <c r="G132" s="120" t="s">
        <v>553</v>
      </c>
      <c r="H132" s="153" t="s">
        <v>554</v>
      </c>
      <c r="I132" s="50" t="s">
        <v>44</v>
      </c>
    </row>
    <row r="133" spans="1:9" ht="144" x14ac:dyDescent="0.2">
      <c r="A133" s="70" t="s">
        <v>548</v>
      </c>
      <c r="B133" s="70" t="s">
        <v>307</v>
      </c>
      <c r="C133" s="70" t="s">
        <v>555</v>
      </c>
      <c r="D133" s="70" t="s">
        <v>556</v>
      </c>
      <c r="E133" s="70" t="s">
        <v>551</v>
      </c>
      <c r="F133" s="154" t="s">
        <v>557</v>
      </c>
      <c r="G133" s="120" t="s">
        <v>553</v>
      </c>
      <c r="H133" s="155" t="s">
        <v>554</v>
      </c>
      <c r="I133" s="71" t="s">
        <v>44</v>
      </c>
    </row>
    <row r="134" spans="1:9" ht="90" x14ac:dyDescent="0.2">
      <c r="A134" s="19" t="s">
        <v>558</v>
      </c>
      <c r="B134" s="19" t="s">
        <v>559</v>
      </c>
      <c r="C134" s="19" t="s">
        <v>560</v>
      </c>
      <c r="D134" s="19" t="s">
        <v>561</v>
      </c>
      <c r="E134" s="20" t="s">
        <v>562</v>
      </c>
      <c r="F134" s="21" t="s">
        <v>563</v>
      </c>
      <c r="G134" s="21" t="s">
        <v>564</v>
      </c>
      <c r="H134" s="23" t="s">
        <v>565</v>
      </c>
      <c r="I134" s="23" t="s">
        <v>44</v>
      </c>
    </row>
    <row r="135" spans="1:9" ht="90" x14ac:dyDescent="0.2">
      <c r="A135" s="24" t="s">
        <v>558</v>
      </c>
      <c r="B135" s="24" t="s">
        <v>467</v>
      </c>
      <c r="C135" s="24" t="s">
        <v>566</v>
      </c>
      <c r="D135" s="24" t="s">
        <v>567</v>
      </c>
      <c r="E135" s="25" t="s">
        <v>568</v>
      </c>
      <c r="F135" s="26" t="s">
        <v>569</v>
      </c>
      <c r="G135" s="26" t="s">
        <v>564</v>
      </c>
      <c r="H135" s="27" t="s">
        <v>565</v>
      </c>
      <c r="I135" s="27" t="s">
        <v>44</v>
      </c>
    </row>
    <row r="136" spans="1:9" ht="135" x14ac:dyDescent="0.2">
      <c r="A136" s="19" t="s">
        <v>570</v>
      </c>
      <c r="B136" s="19" t="s">
        <v>571</v>
      </c>
      <c r="C136" s="19" t="s">
        <v>572</v>
      </c>
      <c r="D136" s="19" t="s">
        <v>573</v>
      </c>
      <c r="E136" s="20" t="s">
        <v>574</v>
      </c>
      <c r="F136" s="21" t="s">
        <v>575</v>
      </c>
      <c r="G136" s="21" t="s">
        <v>576</v>
      </c>
      <c r="H136" s="23" t="s">
        <v>577</v>
      </c>
      <c r="I136" s="23" t="s">
        <v>578</v>
      </c>
    </row>
    <row r="137" spans="1:9" ht="105" x14ac:dyDescent="0.2">
      <c r="A137" s="19" t="s">
        <v>579</v>
      </c>
      <c r="B137" s="19" t="s">
        <v>580</v>
      </c>
      <c r="C137" s="19" t="s">
        <v>581</v>
      </c>
      <c r="D137" s="19" t="s">
        <v>582</v>
      </c>
      <c r="E137" s="20" t="s">
        <v>583</v>
      </c>
      <c r="F137" s="98" t="s">
        <v>584</v>
      </c>
      <c r="G137" s="99" t="s">
        <v>585</v>
      </c>
      <c r="H137" s="23">
        <v>53673912</v>
      </c>
      <c r="I137" s="23" t="s">
        <v>586</v>
      </c>
    </row>
    <row r="138" spans="1:9" ht="16" x14ac:dyDescent="0.2">
      <c r="A138" s="28" t="s">
        <v>579</v>
      </c>
      <c r="B138" s="28" t="s">
        <v>587</v>
      </c>
      <c r="C138" s="72" t="s">
        <v>588</v>
      </c>
      <c r="D138" s="72" t="s">
        <v>589</v>
      </c>
      <c r="E138" s="29" t="s">
        <v>583</v>
      </c>
      <c r="F138" s="30" t="s">
        <v>590</v>
      </c>
      <c r="G138" s="30" t="s">
        <v>590</v>
      </c>
      <c r="H138" s="31">
        <v>53673912</v>
      </c>
      <c r="I138" s="31" t="s">
        <v>586</v>
      </c>
    </row>
    <row r="139" spans="1:9" ht="120" x14ac:dyDescent="0.2">
      <c r="A139" s="19" t="s">
        <v>591</v>
      </c>
      <c r="B139" s="19" t="s">
        <v>592</v>
      </c>
      <c r="C139" s="19" t="s">
        <v>593</v>
      </c>
      <c r="D139" s="19" t="s">
        <v>594</v>
      </c>
      <c r="E139" s="20" t="s">
        <v>283</v>
      </c>
      <c r="F139" s="21" t="s">
        <v>284</v>
      </c>
      <c r="G139" s="21" t="s">
        <v>284</v>
      </c>
      <c r="H139" s="23">
        <v>1501614080</v>
      </c>
      <c r="I139" s="23" t="s">
        <v>285</v>
      </c>
    </row>
    <row r="140" spans="1:9" ht="16" x14ac:dyDescent="0.2">
      <c r="A140" s="19" t="s">
        <v>591</v>
      </c>
      <c r="B140" s="19" t="s">
        <v>595</v>
      </c>
      <c r="C140" s="19" t="s">
        <v>596</v>
      </c>
      <c r="D140" s="19" t="s">
        <v>597</v>
      </c>
      <c r="E140" s="20" t="s">
        <v>283</v>
      </c>
      <c r="F140" s="21" t="s">
        <v>598</v>
      </c>
      <c r="G140" s="21" t="s">
        <v>598</v>
      </c>
      <c r="H140" s="23">
        <v>1501614080</v>
      </c>
      <c r="I140" s="23" t="s">
        <v>285</v>
      </c>
    </row>
    <row r="141" spans="1:9" ht="120" x14ac:dyDescent="0.2">
      <c r="A141" s="28" t="s">
        <v>591</v>
      </c>
      <c r="B141" s="28" t="s">
        <v>286</v>
      </c>
      <c r="C141" s="28" t="s">
        <v>599</v>
      </c>
      <c r="D141" s="28" t="s">
        <v>600</v>
      </c>
      <c r="E141" s="29" t="s">
        <v>283</v>
      </c>
      <c r="F141" s="30" t="s">
        <v>284</v>
      </c>
      <c r="G141" s="30" t="s">
        <v>598</v>
      </c>
      <c r="H141" s="31">
        <v>1501614080</v>
      </c>
      <c r="I141" s="31" t="s">
        <v>285</v>
      </c>
    </row>
    <row r="142" spans="1:9" ht="94.5" customHeight="1" x14ac:dyDescent="0.2">
      <c r="A142" s="19" t="s">
        <v>601</v>
      </c>
      <c r="B142" s="19" t="s">
        <v>602</v>
      </c>
      <c r="C142" s="19" t="s">
        <v>603</v>
      </c>
      <c r="D142" s="48" t="s">
        <v>604</v>
      </c>
      <c r="E142" s="20" t="s">
        <v>605</v>
      </c>
      <c r="F142" s="21" t="s">
        <v>606</v>
      </c>
      <c r="G142" s="21" t="s">
        <v>607</v>
      </c>
      <c r="H142" s="23" t="s">
        <v>608</v>
      </c>
      <c r="I142" s="23" t="s">
        <v>609</v>
      </c>
    </row>
    <row r="143" spans="1:9" s="2" customFormat="1" ht="16" x14ac:dyDescent="0.15">
      <c r="A143" s="19" t="s">
        <v>601</v>
      </c>
      <c r="B143" s="19" t="s">
        <v>610</v>
      </c>
      <c r="C143" s="19" t="s">
        <v>611</v>
      </c>
      <c r="D143" s="19" t="s">
        <v>612</v>
      </c>
      <c r="E143" s="20" t="s">
        <v>605</v>
      </c>
      <c r="F143" s="21" t="s">
        <v>613</v>
      </c>
      <c r="G143" s="21" t="s">
        <v>613</v>
      </c>
      <c r="H143" s="23" t="s">
        <v>608</v>
      </c>
      <c r="I143" s="23" t="s">
        <v>609</v>
      </c>
    </row>
    <row r="144" spans="1:9" s="2" customFormat="1" ht="75" x14ac:dyDescent="0.15">
      <c r="A144" s="73" t="s">
        <v>601</v>
      </c>
      <c r="B144" s="28" t="s">
        <v>614</v>
      </c>
      <c r="C144" s="28" t="s">
        <v>615</v>
      </c>
      <c r="D144" s="28" t="s">
        <v>616</v>
      </c>
      <c r="E144" s="29" t="s">
        <v>605</v>
      </c>
      <c r="F144" s="30" t="s">
        <v>606</v>
      </c>
      <c r="G144" s="30" t="s">
        <v>613</v>
      </c>
      <c r="H144" s="31" t="s">
        <v>608</v>
      </c>
      <c r="I144" s="74" t="s">
        <v>609</v>
      </c>
    </row>
    <row r="145" spans="1:9" s="2" customFormat="1" ht="195" x14ac:dyDescent="0.2">
      <c r="A145" s="36" t="s">
        <v>617</v>
      </c>
      <c r="B145" s="37" t="s">
        <v>618</v>
      </c>
      <c r="C145" s="37" t="s">
        <v>619</v>
      </c>
      <c r="D145" s="37" t="s">
        <v>620</v>
      </c>
      <c r="E145" s="37" t="s">
        <v>621</v>
      </c>
      <c r="F145" s="38" t="s">
        <v>622</v>
      </c>
      <c r="G145" s="75" t="s">
        <v>623</v>
      </c>
      <c r="H145" s="87" t="s">
        <v>624</v>
      </c>
      <c r="I145" s="56" t="s">
        <v>625</v>
      </c>
    </row>
    <row r="146" spans="1:9" s="2" customFormat="1" ht="75" x14ac:dyDescent="0.2">
      <c r="A146" s="36" t="s">
        <v>617</v>
      </c>
      <c r="B146" s="37" t="s">
        <v>618</v>
      </c>
      <c r="C146" s="37" t="s">
        <v>626</v>
      </c>
      <c r="D146" s="37" t="s">
        <v>627</v>
      </c>
      <c r="E146" s="37" t="s">
        <v>628</v>
      </c>
      <c r="F146" s="38" t="s">
        <v>629</v>
      </c>
      <c r="G146" s="75" t="s">
        <v>630</v>
      </c>
      <c r="H146" s="87" t="s">
        <v>624</v>
      </c>
      <c r="I146" s="56" t="s">
        <v>625</v>
      </c>
    </row>
    <row r="147" spans="1:9" s="2" customFormat="1" ht="16" x14ac:dyDescent="0.2">
      <c r="A147" s="52" t="s">
        <v>617</v>
      </c>
      <c r="B147" s="53" t="s">
        <v>631</v>
      </c>
      <c r="C147" s="53" t="s">
        <v>632</v>
      </c>
      <c r="D147" s="53" t="s">
        <v>633</v>
      </c>
      <c r="E147" s="53" t="s">
        <v>621</v>
      </c>
      <c r="F147" s="38" t="s">
        <v>634</v>
      </c>
      <c r="G147" s="54" t="s">
        <v>634</v>
      </c>
      <c r="H147" s="87" t="s">
        <v>624</v>
      </c>
      <c r="I147" s="56" t="s">
        <v>625</v>
      </c>
    </row>
    <row r="148" spans="1:9" s="2" customFormat="1" ht="16" x14ac:dyDescent="0.2">
      <c r="A148" s="52" t="s">
        <v>617</v>
      </c>
      <c r="B148" s="53" t="s">
        <v>635</v>
      </c>
      <c r="C148" s="53" t="s">
        <v>636</v>
      </c>
      <c r="D148" s="53" t="s">
        <v>637</v>
      </c>
      <c r="E148" s="53" t="s">
        <v>621</v>
      </c>
      <c r="F148" s="38" t="s">
        <v>634</v>
      </c>
      <c r="G148" s="54" t="s">
        <v>634</v>
      </c>
      <c r="H148" s="87" t="s">
        <v>624</v>
      </c>
      <c r="I148" s="56" t="s">
        <v>625</v>
      </c>
    </row>
    <row r="149" spans="1:9" s="2" customFormat="1" ht="16" x14ac:dyDescent="0.2">
      <c r="A149" s="52" t="s">
        <v>617</v>
      </c>
      <c r="B149" s="53" t="s">
        <v>638</v>
      </c>
      <c r="C149" s="53" t="s">
        <v>639</v>
      </c>
      <c r="D149" s="53" t="s">
        <v>640</v>
      </c>
      <c r="E149" s="53" t="s">
        <v>621</v>
      </c>
      <c r="F149" s="38" t="s">
        <v>634</v>
      </c>
      <c r="G149" s="54" t="s">
        <v>634</v>
      </c>
      <c r="H149" s="87" t="s">
        <v>624</v>
      </c>
      <c r="I149" s="56" t="s">
        <v>625</v>
      </c>
    </row>
    <row r="150" spans="1:9" s="2" customFormat="1" ht="16" x14ac:dyDescent="0.2">
      <c r="A150" s="52" t="s">
        <v>617</v>
      </c>
      <c r="B150" s="53" t="s">
        <v>641</v>
      </c>
      <c r="C150" s="53" t="s">
        <v>642</v>
      </c>
      <c r="D150" s="53" t="s">
        <v>643</v>
      </c>
      <c r="E150" s="53" t="s">
        <v>621</v>
      </c>
      <c r="F150" s="38" t="s">
        <v>634</v>
      </c>
      <c r="G150" s="54" t="s">
        <v>634</v>
      </c>
      <c r="H150" s="87" t="s">
        <v>624</v>
      </c>
      <c r="I150" s="56" t="s">
        <v>625</v>
      </c>
    </row>
    <row r="151" spans="1:9" s="2" customFormat="1" ht="16" x14ac:dyDescent="0.2">
      <c r="A151" s="52" t="s">
        <v>617</v>
      </c>
      <c r="B151" s="53" t="s">
        <v>644</v>
      </c>
      <c r="C151" s="53" t="s">
        <v>645</v>
      </c>
      <c r="D151" s="53" t="s">
        <v>646</v>
      </c>
      <c r="E151" s="53" t="s">
        <v>621</v>
      </c>
      <c r="F151" s="38" t="s">
        <v>634</v>
      </c>
      <c r="G151" s="54" t="s">
        <v>634</v>
      </c>
      <c r="H151" s="87" t="s">
        <v>624</v>
      </c>
      <c r="I151" s="56" t="s">
        <v>625</v>
      </c>
    </row>
    <row r="152" spans="1:9" s="2" customFormat="1" ht="16" x14ac:dyDescent="0.2">
      <c r="A152" s="52" t="s">
        <v>617</v>
      </c>
      <c r="B152" s="53" t="s">
        <v>647</v>
      </c>
      <c r="C152" s="53" t="s">
        <v>648</v>
      </c>
      <c r="D152" s="53" t="s">
        <v>649</v>
      </c>
      <c r="E152" s="53" t="s">
        <v>621</v>
      </c>
      <c r="F152" s="38" t="s">
        <v>634</v>
      </c>
      <c r="G152" s="54" t="s">
        <v>634</v>
      </c>
      <c r="H152" s="87" t="s">
        <v>624</v>
      </c>
      <c r="I152" s="56" t="s">
        <v>625</v>
      </c>
    </row>
    <row r="153" spans="1:9" s="2" customFormat="1" ht="16" x14ac:dyDescent="0.2">
      <c r="A153" s="52" t="s">
        <v>617</v>
      </c>
      <c r="B153" s="53" t="s">
        <v>650</v>
      </c>
      <c r="C153" s="53" t="s">
        <v>651</v>
      </c>
      <c r="D153" s="53" t="s">
        <v>652</v>
      </c>
      <c r="E153" s="53" t="s">
        <v>621</v>
      </c>
      <c r="F153" s="38" t="s">
        <v>634</v>
      </c>
      <c r="G153" s="54" t="s">
        <v>634</v>
      </c>
      <c r="H153" s="87" t="s">
        <v>624</v>
      </c>
      <c r="I153" s="56" t="s">
        <v>625</v>
      </c>
    </row>
    <row r="154" spans="1:9" s="2" customFormat="1" ht="16" x14ac:dyDescent="0.2">
      <c r="A154" s="52" t="s">
        <v>617</v>
      </c>
      <c r="B154" s="53" t="s">
        <v>653</v>
      </c>
      <c r="C154" s="53" t="s">
        <v>654</v>
      </c>
      <c r="D154" s="53" t="s">
        <v>655</v>
      </c>
      <c r="E154" s="53" t="s">
        <v>621</v>
      </c>
      <c r="F154" s="38" t="s">
        <v>634</v>
      </c>
      <c r="G154" s="54" t="s">
        <v>634</v>
      </c>
      <c r="H154" s="87" t="s">
        <v>624</v>
      </c>
      <c r="I154" s="56" t="s">
        <v>625</v>
      </c>
    </row>
    <row r="155" spans="1:9" s="2" customFormat="1" ht="16" x14ac:dyDescent="0.2">
      <c r="A155" s="52" t="s">
        <v>617</v>
      </c>
      <c r="B155" s="53" t="s">
        <v>656</v>
      </c>
      <c r="C155" s="76" t="s">
        <v>657</v>
      </c>
      <c r="D155" s="53" t="s">
        <v>658</v>
      </c>
      <c r="E155" s="77" t="s">
        <v>621</v>
      </c>
      <c r="F155" s="38" t="s">
        <v>634</v>
      </c>
      <c r="G155" s="54" t="s">
        <v>634</v>
      </c>
      <c r="H155" s="87" t="s">
        <v>624</v>
      </c>
      <c r="I155" s="56" t="s">
        <v>625</v>
      </c>
    </row>
    <row r="156" spans="1:9" ht="90" x14ac:dyDescent="0.2">
      <c r="A156" s="36" t="s">
        <v>617</v>
      </c>
      <c r="B156" s="37" t="s">
        <v>659</v>
      </c>
      <c r="C156" s="37" t="s">
        <v>660</v>
      </c>
      <c r="D156" s="37" t="s">
        <v>661</v>
      </c>
      <c r="E156" s="37" t="s">
        <v>662</v>
      </c>
      <c r="F156" s="38" t="s">
        <v>663</v>
      </c>
      <c r="G156" s="75" t="s">
        <v>664</v>
      </c>
      <c r="H156" s="88" t="s">
        <v>624</v>
      </c>
      <c r="I156" s="56" t="s">
        <v>625</v>
      </c>
    </row>
    <row r="157" spans="1:9" ht="75" x14ac:dyDescent="0.2">
      <c r="A157" s="156" t="s">
        <v>617</v>
      </c>
      <c r="B157" s="157" t="s">
        <v>659</v>
      </c>
      <c r="C157" s="157" t="s">
        <v>665</v>
      </c>
      <c r="D157" s="157" t="s">
        <v>666</v>
      </c>
      <c r="E157" s="157" t="s">
        <v>628</v>
      </c>
      <c r="F157" s="78" t="s">
        <v>629</v>
      </c>
      <c r="G157" s="79" t="s">
        <v>630</v>
      </c>
      <c r="H157" s="87" t="s">
        <v>624</v>
      </c>
      <c r="I157" s="80" t="s">
        <v>625</v>
      </c>
    </row>
    <row r="158" spans="1:9" ht="120" x14ac:dyDescent="0.2">
      <c r="A158" s="32" t="s">
        <v>667</v>
      </c>
      <c r="B158" s="32" t="s">
        <v>668</v>
      </c>
      <c r="C158" s="32" t="s">
        <v>669</v>
      </c>
      <c r="D158" s="32" t="s">
        <v>670</v>
      </c>
      <c r="E158" s="33" t="s">
        <v>671</v>
      </c>
      <c r="F158" s="34" t="s">
        <v>672</v>
      </c>
      <c r="G158" s="34" t="s">
        <v>673</v>
      </c>
      <c r="H158" s="35" t="s">
        <v>674</v>
      </c>
      <c r="I158" s="35" t="s">
        <v>93</v>
      </c>
    </row>
    <row r="159" spans="1:9" ht="129" customHeight="1" x14ac:dyDescent="0.2">
      <c r="A159" s="19" t="s">
        <v>675</v>
      </c>
      <c r="B159" s="19" t="s">
        <v>676</v>
      </c>
      <c r="C159" s="19" t="s">
        <v>677</v>
      </c>
      <c r="D159" s="19" t="s">
        <v>678</v>
      </c>
      <c r="E159" s="37" t="s">
        <v>679</v>
      </c>
      <c r="F159" s="99" t="s">
        <v>680</v>
      </c>
      <c r="G159" s="99" t="s">
        <v>681</v>
      </c>
      <c r="H159" s="23">
        <v>314014395</v>
      </c>
      <c r="I159" s="23" t="s">
        <v>244</v>
      </c>
    </row>
  </sheetData>
  <phoneticPr fontId="22" type="noConversion"/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12523-4A93-49D0-B2E5-A8BE0B1AD18A}">
  <dimension ref="A1:F111"/>
  <sheetViews>
    <sheetView workbookViewId="0">
      <pane ySplit="1" topLeftCell="A93" activePane="bottomLeft" state="frozen"/>
      <selection pane="bottomLeft" activeCell="A107" sqref="A107"/>
    </sheetView>
  </sheetViews>
  <sheetFormatPr baseColWidth="10" defaultColWidth="9.1640625" defaultRowHeight="15" x14ac:dyDescent="0.2"/>
  <cols>
    <col min="1" max="1" width="17.33203125" style="5" customWidth="1"/>
    <col min="2" max="2" width="16.5" style="5" customWidth="1"/>
    <col min="3" max="3" width="34.5" style="5" bestFit="1" customWidth="1"/>
    <col min="4" max="4" width="70.1640625" style="5" customWidth="1"/>
    <col min="5" max="5" width="11.1640625" style="15" customWidth="1"/>
    <col min="6" max="6" width="14.1640625" style="5" bestFit="1" customWidth="1"/>
    <col min="7" max="16384" width="9.1640625" style="5"/>
  </cols>
  <sheetData>
    <row r="1" spans="1:6" ht="24.75" customHeight="1" x14ac:dyDescent="0.2">
      <c r="A1" s="3" t="s">
        <v>0</v>
      </c>
      <c r="B1" s="3" t="s">
        <v>682</v>
      </c>
      <c r="C1" s="3" t="s">
        <v>683</v>
      </c>
      <c r="D1" s="3" t="s">
        <v>684</v>
      </c>
      <c r="E1" s="4" t="s">
        <v>685</v>
      </c>
      <c r="F1" s="3" t="s">
        <v>686</v>
      </c>
    </row>
    <row r="2" spans="1:6" ht="16" x14ac:dyDescent="0.2">
      <c r="A2" s="5" t="s">
        <v>150</v>
      </c>
      <c r="B2" s="5" t="s">
        <v>193</v>
      </c>
      <c r="C2" s="5" t="s">
        <v>687</v>
      </c>
      <c r="D2" s="6" t="s">
        <v>688</v>
      </c>
      <c r="E2" s="7">
        <v>44774</v>
      </c>
      <c r="F2" s="5" t="s">
        <v>689</v>
      </c>
    </row>
    <row r="3" spans="1:6" ht="16" x14ac:dyDescent="0.2">
      <c r="A3" s="5" t="s">
        <v>142</v>
      </c>
      <c r="B3" s="5" t="s">
        <v>687</v>
      </c>
      <c r="C3" s="5" t="s">
        <v>690</v>
      </c>
      <c r="D3" s="6" t="s">
        <v>691</v>
      </c>
      <c r="E3" s="7">
        <v>44775</v>
      </c>
      <c r="F3" s="5" t="s">
        <v>689</v>
      </c>
    </row>
    <row r="4" spans="1:6" ht="16" x14ac:dyDescent="0.2">
      <c r="A4" s="5" t="s">
        <v>602</v>
      </c>
      <c r="B4" s="5" t="s">
        <v>687</v>
      </c>
      <c r="C4" s="5" t="s">
        <v>692</v>
      </c>
      <c r="D4" s="6" t="s">
        <v>693</v>
      </c>
      <c r="E4" s="7">
        <v>44799</v>
      </c>
      <c r="F4" s="5" t="s">
        <v>689</v>
      </c>
    </row>
    <row r="5" spans="1:6" ht="16" x14ac:dyDescent="0.2">
      <c r="A5" s="5" t="s">
        <v>694</v>
      </c>
      <c r="B5" s="3" t="s">
        <v>695</v>
      </c>
      <c r="C5" s="5" t="s">
        <v>696</v>
      </c>
      <c r="D5" s="6" t="s">
        <v>697</v>
      </c>
      <c r="E5" s="7">
        <v>44826</v>
      </c>
      <c r="F5" s="5" t="s">
        <v>689</v>
      </c>
    </row>
    <row r="6" spans="1:6" ht="16" x14ac:dyDescent="0.2">
      <c r="A6" s="5" t="s">
        <v>698</v>
      </c>
      <c r="B6" s="5" t="s">
        <v>687</v>
      </c>
      <c r="C6" s="5" t="s">
        <v>699</v>
      </c>
      <c r="D6" s="6" t="s">
        <v>700</v>
      </c>
      <c r="E6" s="7">
        <v>44826</v>
      </c>
      <c r="F6" s="5" t="s">
        <v>689</v>
      </c>
    </row>
    <row r="7" spans="1:6" x14ac:dyDescent="0.2">
      <c r="A7" s="5" t="s">
        <v>246</v>
      </c>
      <c r="B7" s="5" t="s">
        <v>254</v>
      </c>
      <c r="C7" s="5" t="s">
        <v>687</v>
      </c>
      <c r="D7" s="5" t="s">
        <v>701</v>
      </c>
      <c r="E7" s="7">
        <v>44847</v>
      </c>
      <c r="F7" s="5" t="s">
        <v>689</v>
      </c>
    </row>
    <row r="8" spans="1:6" ht="16" x14ac:dyDescent="0.2">
      <c r="A8" s="5" t="s">
        <v>702</v>
      </c>
      <c r="B8" s="5" t="s">
        <v>199</v>
      </c>
      <c r="C8" s="5" t="s">
        <v>687</v>
      </c>
      <c r="D8" s="6" t="s">
        <v>703</v>
      </c>
      <c r="E8" s="7">
        <v>44858</v>
      </c>
      <c r="F8" s="5" t="s">
        <v>689</v>
      </c>
    </row>
    <row r="9" spans="1:6" ht="16" x14ac:dyDescent="0.2">
      <c r="A9" s="5" t="s">
        <v>10</v>
      </c>
      <c r="B9" s="5" t="s">
        <v>27</v>
      </c>
      <c r="C9" s="5" t="s">
        <v>687</v>
      </c>
      <c r="D9" s="6" t="s">
        <v>704</v>
      </c>
      <c r="E9" s="7">
        <v>44875</v>
      </c>
      <c r="F9" s="5" t="s">
        <v>689</v>
      </c>
    </row>
    <row r="10" spans="1:6" ht="16" x14ac:dyDescent="0.2">
      <c r="A10" s="5" t="s">
        <v>142</v>
      </c>
      <c r="B10" s="5" t="s">
        <v>687</v>
      </c>
      <c r="C10" s="5" t="s">
        <v>705</v>
      </c>
      <c r="D10" s="6" t="s">
        <v>706</v>
      </c>
      <c r="E10" s="7">
        <v>44886</v>
      </c>
      <c r="F10" s="5" t="s">
        <v>689</v>
      </c>
    </row>
    <row r="11" spans="1:6" ht="16" x14ac:dyDescent="0.2">
      <c r="A11" s="5" t="s">
        <v>10</v>
      </c>
      <c r="B11" s="5" t="s">
        <v>30</v>
      </c>
      <c r="C11" s="5" t="s">
        <v>687</v>
      </c>
      <c r="D11" s="6" t="s">
        <v>707</v>
      </c>
      <c r="E11" s="7">
        <v>44916</v>
      </c>
      <c r="F11" s="5" t="s">
        <v>689</v>
      </c>
    </row>
    <row r="12" spans="1:6" ht="16" x14ac:dyDescent="0.2">
      <c r="A12" s="5" t="s">
        <v>694</v>
      </c>
      <c r="B12" s="5" t="s">
        <v>708</v>
      </c>
      <c r="C12" s="5" t="s">
        <v>687</v>
      </c>
      <c r="D12" s="6" t="s">
        <v>709</v>
      </c>
      <c r="E12" s="7">
        <v>44916</v>
      </c>
      <c r="F12" s="5" t="s">
        <v>689</v>
      </c>
    </row>
    <row r="13" spans="1:6" ht="16" x14ac:dyDescent="0.2">
      <c r="A13" s="5" t="s">
        <v>710</v>
      </c>
      <c r="B13" s="5" t="s">
        <v>687</v>
      </c>
      <c r="C13" s="5" t="s">
        <v>687</v>
      </c>
      <c r="D13" s="6" t="s">
        <v>711</v>
      </c>
      <c r="E13" s="7">
        <v>44930</v>
      </c>
      <c r="F13" s="5" t="s">
        <v>689</v>
      </c>
    </row>
    <row r="14" spans="1:6" ht="16" x14ac:dyDescent="0.2">
      <c r="A14" s="5" t="s">
        <v>712</v>
      </c>
      <c r="B14" s="5" t="s">
        <v>713</v>
      </c>
      <c r="C14" s="5" t="s">
        <v>687</v>
      </c>
      <c r="D14" s="6" t="s">
        <v>714</v>
      </c>
      <c r="E14" s="7">
        <v>44930</v>
      </c>
      <c r="F14" s="5" t="s">
        <v>689</v>
      </c>
    </row>
    <row r="15" spans="1:6" ht="16" x14ac:dyDescent="0.2">
      <c r="A15" s="5" t="s">
        <v>363</v>
      </c>
      <c r="B15" s="5" t="s">
        <v>375</v>
      </c>
      <c r="C15" s="5" t="s">
        <v>687</v>
      </c>
      <c r="D15" s="6" t="s">
        <v>715</v>
      </c>
      <c r="E15" s="7">
        <v>44930</v>
      </c>
      <c r="F15" s="5" t="s">
        <v>689</v>
      </c>
    </row>
    <row r="16" spans="1:6" ht="16" x14ac:dyDescent="0.2">
      <c r="A16" s="5" t="s">
        <v>64</v>
      </c>
      <c r="B16" s="5" t="s">
        <v>64</v>
      </c>
      <c r="C16" s="5" t="s">
        <v>687</v>
      </c>
      <c r="D16" s="6" t="s">
        <v>716</v>
      </c>
      <c r="E16" s="7">
        <v>44931</v>
      </c>
      <c r="F16" s="5" t="s">
        <v>717</v>
      </c>
    </row>
    <row r="17" spans="1:6" ht="16" x14ac:dyDescent="0.2">
      <c r="A17" s="5" t="s">
        <v>618</v>
      </c>
      <c r="B17" s="5" t="s">
        <v>653</v>
      </c>
      <c r="C17" s="5" t="s">
        <v>687</v>
      </c>
      <c r="D17" s="6" t="s">
        <v>718</v>
      </c>
      <c r="E17" s="7">
        <v>44935</v>
      </c>
      <c r="F17" s="5" t="s">
        <v>717</v>
      </c>
    </row>
    <row r="18" spans="1:6" ht="16" x14ac:dyDescent="0.2">
      <c r="A18" s="5" t="s">
        <v>246</v>
      </c>
      <c r="B18" s="5" t="s">
        <v>719</v>
      </c>
      <c r="C18" s="5" t="s">
        <v>720</v>
      </c>
      <c r="D18" s="6" t="s">
        <v>721</v>
      </c>
      <c r="E18" s="7">
        <v>44951</v>
      </c>
      <c r="F18" s="5" t="s">
        <v>689</v>
      </c>
    </row>
    <row r="19" spans="1:6" ht="16" x14ac:dyDescent="0.2">
      <c r="A19" s="5" t="s">
        <v>722</v>
      </c>
      <c r="B19" s="5" t="s">
        <v>723</v>
      </c>
      <c r="C19" s="5" t="s">
        <v>687</v>
      </c>
      <c r="D19" s="6" t="s">
        <v>724</v>
      </c>
      <c r="E19" s="7">
        <v>44958</v>
      </c>
      <c r="F19" s="5" t="s">
        <v>717</v>
      </c>
    </row>
    <row r="20" spans="1:6" ht="16" x14ac:dyDescent="0.2">
      <c r="A20" s="5" t="s">
        <v>64</v>
      </c>
      <c r="B20" s="5" t="s">
        <v>76</v>
      </c>
      <c r="C20" s="5" t="s">
        <v>687</v>
      </c>
      <c r="D20" s="6" t="s">
        <v>725</v>
      </c>
      <c r="E20" s="7">
        <v>44958</v>
      </c>
      <c r="F20" s="5" t="s">
        <v>717</v>
      </c>
    </row>
    <row r="21" spans="1:6" ht="16" x14ac:dyDescent="0.2">
      <c r="A21" s="5" t="s">
        <v>722</v>
      </c>
      <c r="B21" s="5" t="s">
        <v>723</v>
      </c>
      <c r="C21" s="5" t="s">
        <v>726</v>
      </c>
      <c r="D21" s="6" t="s">
        <v>727</v>
      </c>
      <c r="E21" s="7">
        <v>44973</v>
      </c>
      <c r="F21" s="5" t="s">
        <v>717</v>
      </c>
    </row>
    <row r="22" spans="1:6" ht="16" x14ac:dyDescent="0.2">
      <c r="A22" s="8" t="s">
        <v>728</v>
      </c>
      <c r="B22" s="9"/>
      <c r="C22" s="9" t="s">
        <v>729</v>
      </c>
      <c r="D22" s="10" t="s">
        <v>730</v>
      </c>
      <c r="E22" s="11">
        <v>44984</v>
      </c>
      <c r="F22" s="9" t="s">
        <v>689</v>
      </c>
    </row>
    <row r="23" spans="1:6" ht="16" x14ac:dyDescent="0.2">
      <c r="A23" s="5" t="s">
        <v>363</v>
      </c>
      <c r="B23" s="5" t="s">
        <v>687</v>
      </c>
      <c r="C23" s="5" t="s">
        <v>729</v>
      </c>
      <c r="D23" s="6" t="s">
        <v>731</v>
      </c>
      <c r="E23" s="7">
        <v>44629</v>
      </c>
      <c r="F23" s="5" t="s">
        <v>689</v>
      </c>
    </row>
    <row r="24" spans="1:6" ht="16" x14ac:dyDescent="0.2">
      <c r="A24" s="5" t="s">
        <v>702</v>
      </c>
      <c r="B24" s="5" t="s">
        <v>732</v>
      </c>
      <c r="C24" s="5" t="s">
        <v>733</v>
      </c>
      <c r="D24" s="6" t="s">
        <v>734</v>
      </c>
      <c r="E24" s="7">
        <v>45001</v>
      </c>
      <c r="F24" s="5" t="s">
        <v>717</v>
      </c>
    </row>
    <row r="25" spans="1:6" s="9" customFormat="1" ht="64" x14ac:dyDescent="0.15">
      <c r="A25" s="9" t="s">
        <v>618</v>
      </c>
      <c r="B25" s="8" t="s">
        <v>735</v>
      </c>
      <c r="C25" s="9" t="s">
        <v>696</v>
      </c>
      <c r="D25" s="10" t="s">
        <v>736</v>
      </c>
      <c r="E25" s="11">
        <v>45033</v>
      </c>
      <c r="F25" s="9" t="s">
        <v>689</v>
      </c>
    </row>
    <row r="26" spans="1:6" ht="16" x14ac:dyDescent="0.2">
      <c r="A26" s="5" t="s">
        <v>126</v>
      </c>
      <c r="C26" s="5" t="s">
        <v>705</v>
      </c>
      <c r="D26" s="6" t="s">
        <v>737</v>
      </c>
      <c r="E26" s="7">
        <v>45033</v>
      </c>
      <c r="F26" s="5" t="s">
        <v>738</v>
      </c>
    </row>
    <row r="27" spans="1:6" ht="16" x14ac:dyDescent="0.2">
      <c r="A27" s="5" t="s">
        <v>64</v>
      </c>
      <c r="B27" s="5" t="s">
        <v>687</v>
      </c>
      <c r="C27" s="5" t="s">
        <v>729</v>
      </c>
      <c r="D27" s="6" t="s">
        <v>739</v>
      </c>
      <c r="E27" s="7">
        <v>45041</v>
      </c>
      <c r="F27" s="5" t="s">
        <v>717</v>
      </c>
    </row>
    <row r="28" spans="1:6" ht="16" x14ac:dyDescent="0.2">
      <c r="A28" s="5" t="s">
        <v>318</v>
      </c>
      <c r="B28" s="5" t="s">
        <v>687</v>
      </c>
      <c r="C28" s="5" t="s">
        <v>705</v>
      </c>
      <c r="D28" s="6" t="s">
        <v>740</v>
      </c>
      <c r="E28" s="7">
        <v>45049</v>
      </c>
      <c r="F28" s="5" t="s">
        <v>738</v>
      </c>
    </row>
    <row r="29" spans="1:6" ht="16" x14ac:dyDescent="0.2">
      <c r="A29" s="5" t="s">
        <v>10</v>
      </c>
      <c r="B29" s="5" t="s">
        <v>687</v>
      </c>
      <c r="C29" s="5" t="s">
        <v>729</v>
      </c>
      <c r="D29" s="6" t="s">
        <v>739</v>
      </c>
      <c r="E29" s="7">
        <v>45055</v>
      </c>
      <c r="F29" s="5" t="s">
        <v>689</v>
      </c>
    </row>
    <row r="30" spans="1:6" ht="16" x14ac:dyDescent="0.2">
      <c r="A30" s="5" t="s">
        <v>64</v>
      </c>
      <c r="B30" s="5" t="s">
        <v>741</v>
      </c>
      <c r="C30" s="5" t="s">
        <v>733</v>
      </c>
      <c r="D30" s="6" t="s">
        <v>742</v>
      </c>
      <c r="E30" s="7">
        <v>45058</v>
      </c>
      <c r="F30" s="5" t="s">
        <v>738</v>
      </c>
    </row>
    <row r="31" spans="1:6" ht="16" x14ac:dyDescent="0.2">
      <c r="A31" s="5" t="s">
        <v>336</v>
      </c>
      <c r="B31" s="5" t="s">
        <v>743</v>
      </c>
      <c r="C31" s="5" t="s">
        <v>687</v>
      </c>
      <c r="D31" s="6" t="s">
        <v>744</v>
      </c>
      <c r="E31" s="7">
        <v>48379</v>
      </c>
      <c r="F31" s="5" t="s">
        <v>689</v>
      </c>
    </row>
    <row r="32" spans="1:6" ht="16" x14ac:dyDescent="0.2">
      <c r="A32" s="5" t="s">
        <v>220</v>
      </c>
      <c r="B32" s="5" t="s">
        <v>745</v>
      </c>
      <c r="C32" s="5" t="s">
        <v>687</v>
      </c>
      <c r="D32" s="6" t="s">
        <v>746</v>
      </c>
      <c r="E32" s="7">
        <v>45103</v>
      </c>
      <c r="F32" s="5" t="s">
        <v>717</v>
      </c>
    </row>
    <row r="33" spans="1:6" ht="16" x14ac:dyDescent="0.2">
      <c r="A33" s="5" t="s">
        <v>747</v>
      </c>
      <c r="C33" s="5" t="s">
        <v>705</v>
      </c>
      <c r="D33" s="6" t="s">
        <v>748</v>
      </c>
      <c r="E33" s="7">
        <v>45148</v>
      </c>
      <c r="F33" s="5" t="s">
        <v>689</v>
      </c>
    </row>
    <row r="34" spans="1:6" ht="16" x14ac:dyDescent="0.2">
      <c r="A34" s="5" t="s">
        <v>456</v>
      </c>
      <c r="B34" s="5" t="s">
        <v>749</v>
      </c>
      <c r="C34" s="5" t="s">
        <v>733</v>
      </c>
      <c r="D34" s="6" t="s">
        <v>750</v>
      </c>
      <c r="E34" s="7">
        <v>45181</v>
      </c>
      <c r="F34" s="5" t="s">
        <v>717</v>
      </c>
    </row>
    <row r="35" spans="1:6" ht="16" x14ac:dyDescent="0.2">
      <c r="A35" s="5" t="s">
        <v>142</v>
      </c>
      <c r="C35" s="5" t="s">
        <v>696</v>
      </c>
      <c r="D35" s="6" t="s">
        <v>751</v>
      </c>
      <c r="E35" s="7">
        <v>45204</v>
      </c>
      <c r="F35" s="5" t="s">
        <v>738</v>
      </c>
    </row>
    <row r="36" spans="1:6" ht="16" x14ac:dyDescent="0.2">
      <c r="A36" s="5" t="s">
        <v>95</v>
      </c>
      <c r="B36" s="5" t="s">
        <v>687</v>
      </c>
      <c r="C36" s="5" t="s">
        <v>705</v>
      </c>
      <c r="D36" s="6" t="s">
        <v>752</v>
      </c>
      <c r="E36" s="7">
        <v>45223</v>
      </c>
      <c r="F36" s="5" t="s">
        <v>689</v>
      </c>
    </row>
    <row r="37" spans="1:6" ht="16" x14ac:dyDescent="0.2">
      <c r="A37" s="5" t="s">
        <v>694</v>
      </c>
      <c r="B37" s="5" t="s">
        <v>687</v>
      </c>
      <c r="C37" s="5" t="s">
        <v>729</v>
      </c>
      <c r="D37" s="6" t="s">
        <v>753</v>
      </c>
      <c r="E37" s="7">
        <v>45246</v>
      </c>
      <c r="F37" s="5" t="s">
        <v>689</v>
      </c>
    </row>
    <row r="38" spans="1:6" ht="16" x14ac:dyDescent="0.2">
      <c r="A38" s="5" t="s">
        <v>511</v>
      </c>
      <c r="B38" s="5" t="s">
        <v>687</v>
      </c>
      <c r="C38" s="5" t="s">
        <v>729</v>
      </c>
      <c r="D38" s="6" t="s">
        <v>754</v>
      </c>
      <c r="E38" s="7">
        <v>45247</v>
      </c>
      <c r="F38" s="5" t="s">
        <v>738</v>
      </c>
    </row>
    <row r="39" spans="1:6" ht="16" x14ac:dyDescent="0.2">
      <c r="A39" s="12" t="s">
        <v>618</v>
      </c>
      <c r="B39" s="13" t="s">
        <v>687</v>
      </c>
      <c r="C39" s="13" t="s">
        <v>755</v>
      </c>
      <c r="D39" s="14" t="s">
        <v>756</v>
      </c>
      <c r="E39" s="7">
        <v>45315</v>
      </c>
      <c r="F39" s="5" t="s">
        <v>717</v>
      </c>
    </row>
    <row r="40" spans="1:6" ht="16" x14ac:dyDescent="0.2">
      <c r="A40" s="5" t="s">
        <v>134</v>
      </c>
      <c r="B40" s="5" t="s">
        <v>687</v>
      </c>
      <c r="C40" s="5" t="s">
        <v>696</v>
      </c>
      <c r="D40" s="6" t="s">
        <v>757</v>
      </c>
      <c r="E40" s="7">
        <v>45315</v>
      </c>
      <c r="F40" s="5" t="s">
        <v>717</v>
      </c>
    </row>
    <row r="41" spans="1:6" ht="16" x14ac:dyDescent="0.2">
      <c r="A41" s="5" t="s">
        <v>498</v>
      </c>
      <c r="B41" s="5" t="s">
        <v>687</v>
      </c>
      <c r="C41" s="5" t="s">
        <v>696</v>
      </c>
      <c r="D41" s="6" t="s">
        <v>757</v>
      </c>
      <c r="E41" s="7">
        <v>45315</v>
      </c>
      <c r="F41" s="5" t="s">
        <v>717</v>
      </c>
    </row>
    <row r="42" spans="1:6" ht="16" x14ac:dyDescent="0.2">
      <c r="A42" s="5" t="s">
        <v>126</v>
      </c>
      <c r="B42" s="5" t="s">
        <v>687</v>
      </c>
      <c r="C42" s="5" t="s">
        <v>696</v>
      </c>
      <c r="D42" s="6" t="s">
        <v>758</v>
      </c>
      <c r="E42" s="7">
        <v>45315</v>
      </c>
      <c r="F42" s="5" t="s">
        <v>717</v>
      </c>
    </row>
    <row r="43" spans="1:6" ht="16" x14ac:dyDescent="0.2">
      <c r="A43" s="5" t="s">
        <v>759</v>
      </c>
      <c r="B43" s="5" t="s">
        <v>687</v>
      </c>
      <c r="C43" s="5" t="s">
        <v>705</v>
      </c>
      <c r="D43" s="6" t="s">
        <v>760</v>
      </c>
      <c r="E43" s="7">
        <v>45315</v>
      </c>
      <c r="F43" s="5" t="s">
        <v>717</v>
      </c>
    </row>
    <row r="44" spans="1:6" ht="16" x14ac:dyDescent="0.2">
      <c r="A44" s="5" t="s">
        <v>702</v>
      </c>
      <c r="B44" s="5" t="s">
        <v>761</v>
      </c>
      <c r="C44" s="5" t="s">
        <v>687</v>
      </c>
      <c r="D44" s="6" t="s">
        <v>762</v>
      </c>
      <c r="E44" s="7">
        <v>45315</v>
      </c>
      <c r="F44" s="5" t="s">
        <v>717</v>
      </c>
    </row>
    <row r="45" spans="1:6" ht="16" x14ac:dyDescent="0.2">
      <c r="A45" s="5" t="s">
        <v>51</v>
      </c>
      <c r="B45" s="5" t="s">
        <v>763</v>
      </c>
      <c r="C45" s="5" t="s">
        <v>687</v>
      </c>
      <c r="D45" s="6" t="s">
        <v>764</v>
      </c>
      <c r="E45" s="7">
        <v>45315</v>
      </c>
      <c r="F45" s="5" t="s">
        <v>717</v>
      </c>
    </row>
    <row r="46" spans="1:6" x14ac:dyDescent="0.2">
      <c r="A46" s="82" t="s">
        <v>456</v>
      </c>
      <c r="B46" s="83" t="s">
        <v>413</v>
      </c>
      <c r="C46" s="83" t="s">
        <v>687</v>
      </c>
      <c r="D46" s="89" t="s">
        <v>765</v>
      </c>
      <c r="E46" s="7">
        <v>45315</v>
      </c>
      <c r="F46" s="84" t="s">
        <v>717</v>
      </c>
    </row>
    <row r="47" spans="1:6" ht="16" x14ac:dyDescent="0.2">
      <c r="A47" s="5" t="s">
        <v>86</v>
      </c>
      <c r="B47" s="5" t="s">
        <v>687</v>
      </c>
      <c r="C47" s="5" t="s">
        <v>766</v>
      </c>
      <c r="D47" s="6" t="s">
        <v>767</v>
      </c>
      <c r="E47" s="7">
        <v>45347</v>
      </c>
      <c r="F47" s="5" t="s">
        <v>717</v>
      </c>
    </row>
    <row r="48" spans="1:6" ht="16" x14ac:dyDescent="0.2">
      <c r="A48" s="5" t="s">
        <v>86</v>
      </c>
      <c r="B48" s="5" t="s">
        <v>687</v>
      </c>
      <c r="C48" s="5" t="s">
        <v>766</v>
      </c>
      <c r="D48" s="6" t="s">
        <v>768</v>
      </c>
      <c r="E48" s="7">
        <v>45365</v>
      </c>
      <c r="F48" s="5" t="s">
        <v>717</v>
      </c>
    </row>
    <row r="49" spans="1:6" ht="16" x14ac:dyDescent="0.2">
      <c r="A49" s="5" t="s">
        <v>769</v>
      </c>
      <c r="B49" s="5" t="s">
        <v>687</v>
      </c>
      <c r="C49" s="5" t="s">
        <v>696</v>
      </c>
      <c r="D49" s="6" t="s">
        <v>767</v>
      </c>
      <c r="E49" s="7">
        <v>45372</v>
      </c>
      <c r="F49" s="5" t="s">
        <v>717</v>
      </c>
    </row>
    <row r="50" spans="1:6" ht="16" x14ac:dyDescent="0.2">
      <c r="A50" s="5" t="s">
        <v>702</v>
      </c>
      <c r="B50" s="5" t="s">
        <v>202</v>
      </c>
      <c r="C50" s="5" t="s">
        <v>687</v>
      </c>
      <c r="D50" s="6" t="s">
        <v>770</v>
      </c>
      <c r="E50" s="7">
        <v>45385</v>
      </c>
      <c r="F50" s="5" t="s">
        <v>717</v>
      </c>
    </row>
    <row r="51" spans="1:6" ht="16" x14ac:dyDescent="0.2">
      <c r="A51" s="5" t="s">
        <v>435</v>
      </c>
      <c r="B51" s="5" t="s">
        <v>435</v>
      </c>
      <c r="C51" s="5" t="s">
        <v>766</v>
      </c>
      <c r="D51" s="6" t="s">
        <v>771</v>
      </c>
      <c r="E51" s="7">
        <v>45412</v>
      </c>
      <c r="F51" s="5" t="s">
        <v>717</v>
      </c>
    </row>
    <row r="52" spans="1:6" ht="16" x14ac:dyDescent="0.2">
      <c r="A52" s="5" t="s">
        <v>150</v>
      </c>
      <c r="B52" s="5" t="s">
        <v>205</v>
      </c>
      <c r="C52" s="5" t="s">
        <v>687</v>
      </c>
      <c r="D52" s="6" t="s">
        <v>772</v>
      </c>
      <c r="E52" s="7">
        <v>45442</v>
      </c>
      <c r="F52" s="5" t="s">
        <v>717</v>
      </c>
    </row>
    <row r="53" spans="1:6" ht="16" x14ac:dyDescent="0.2">
      <c r="A53" s="5" t="s">
        <v>511</v>
      </c>
      <c r="B53" s="5" t="s">
        <v>511</v>
      </c>
      <c r="C53" s="5" t="s">
        <v>773</v>
      </c>
      <c r="D53" s="6" t="s">
        <v>774</v>
      </c>
      <c r="E53" s="7">
        <v>45453</v>
      </c>
      <c r="F53" s="5" t="s">
        <v>717</v>
      </c>
    </row>
    <row r="54" spans="1:6" ht="16" x14ac:dyDescent="0.2">
      <c r="A54" s="5" t="s">
        <v>559</v>
      </c>
      <c r="B54" s="5" t="s">
        <v>723</v>
      </c>
      <c r="C54" s="5" t="s">
        <v>729</v>
      </c>
      <c r="D54" s="6" t="s">
        <v>774</v>
      </c>
      <c r="E54" s="7">
        <v>45455</v>
      </c>
      <c r="F54" s="5" t="s">
        <v>717</v>
      </c>
    </row>
    <row r="55" spans="1:6" ht="16" x14ac:dyDescent="0.2">
      <c r="A55" s="5" t="s">
        <v>150</v>
      </c>
      <c r="B55" s="5" t="s">
        <v>775</v>
      </c>
      <c r="C55" s="5" t="s">
        <v>687</v>
      </c>
      <c r="D55" s="6" t="s">
        <v>776</v>
      </c>
      <c r="E55" s="7">
        <v>45474</v>
      </c>
      <c r="F55" s="5" t="s">
        <v>717</v>
      </c>
    </row>
    <row r="56" spans="1:6" ht="16" x14ac:dyDescent="0.2">
      <c r="A56" s="5" t="s">
        <v>51</v>
      </c>
      <c r="B56" s="5" t="s">
        <v>763</v>
      </c>
      <c r="C56" s="5" t="s">
        <v>687</v>
      </c>
      <c r="D56" s="6" t="s">
        <v>777</v>
      </c>
      <c r="E56" s="7">
        <v>45526</v>
      </c>
      <c r="F56" s="5" t="s">
        <v>717</v>
      </c>
    </row>
    <row r="57" spans="1:6" ht="16" x14ac:dyDescent="0.2">
      <c r="A57" s="5" t="s">
        <v>702</v>
      </c>
      <c r="B57" s="5" t="s">
        <v>778</v>
      </c>
      <c r="C57" s="5" t="s">
        <v>687</v>
      </c>
      <c r="D57" s="6" t="s">
        <v>779</v>
      </c>
      <c r="E57" s="7">
        <v>45565</v>
      </c>
      <c r="F57" s="5" t="s">
        <v>717</v>
      </c>
    </row>
    <row r="58" spans="1:6" ht="16" x14ac:dyDescent="0.2">
      <c r="A58" s="92" t="s">
        <v>379</v>
      </c>
      <c r="B58" s="92" t="s">
        <v>780</v>
      </c>
      <c r="C58" s="92" t="s">
        <v>687</v>
      </c>
      <c r="D58" s="93" t="s">
        <v>781</v>
      </c>
      <c r="E58" s="7">
        <v>45565</v>
      </c>
      <c r="F58" s="5" t="s">
        <v>717</v>
      </c>
    </row>
    <row r="59" spans="1:6" ht="16" x14ac:dyDescent="0.2">
      <c r="A59" s="92" t="s">
        <v>571</v>
      </c>
      <c r="B59" s="92" t="s">
        <v>782</v>
      </c>
      <c r="C59" s="92" t="s">
        <v>687</v>
      </c>
      <c r="D59" s="93" t="s">
        <v>781</v>
      </c>
      <c r="E59" s="7">
        <v>45565</v>
      </c>
      <c r="F59" s="5" t="s">
        <v>717</v>
      </c>
    </row>
    <row r="60" spans="1:6" x14ac:dyDescent="0.2">
      <c r="A60" s="92" t="s">
        <v>511</v>
      </c>
      <c r="B60" s="92" t="s">
        <v>511</v>
      </c>
      <c r="C60" s="92" t="s">
        <v>766</v>
      </c>
      <c r="D60" s="95" t="s">
        <v>783</v>
      </c>
      <c r="E60" s="94">
        <v>45565</v>
      </c>
      <c r="F60" s="92" t="s">
        <v>717</v>
      </c>
    </row>
    <row r="61" spans="1:6" ht="16" x14ac:dyDescent="0.2">
      <c r="A61" s="92" t="s">
        <v>784</v>
      </c>
      <c r="B61" s="92" t="s">
        <v>785</v>
      </c>
      <c r="C61" s="92" t="s">
        <v>687</v>
      </c>
      <c r="D61" s="93" t="s">
        <v>786</v>
      </c>
      <c r="E61" s="94">
        <v>45582</v>
      </c>
      <c r="F61" s="92" t="s">
        <v>717</v>
      </c>
    </row>
    <row r="62" spans="1:6" ht="16" x14ac:dyDescent="0.2">
      <c r="A62" s="92" t="s">
        <v>784</v>
      </c>
      <c r="B62" s="92" t="s">
        <v>785</v>
      </c>
      <c r="C62" s="92" t="s">
        <v>687</v>
      </c>
      <c r="D62" s="93" t="s">
        <v>787</v>
      </c>
      <c r="E62" s="94">
        <v>45600</v>
      </c>
      <c r="F62" s="92" t="s">
        <v>717</v>
      </c>
    </row>
    <row r="63" spans="1:6" ht="16" x14ac:dyDescent="0.2">
      <c r="A63" s="92" t="s">
        <v>580</v>
      </c>
      <c r="B63" s="92" t="s">
        <v>687</v>
      </c>
      <c r="C63" s="92" t="s">
        <v>705</v>
      </c>
      <c r="D63" s="93" t="s">
        <v>788</v>
      </c>
      <c r="E63" s="94">
        <v>45600</v>
      </c>
      <c r="F63" s="92" t="s">
        <v>717</v>
      </c>
    </row>
    <row r="64" spans="1:6" ht="16" x14ac:dyDescent="0.2">
      <c r="A64" s="92" t="s">
        <v>336</v>
      </c>
      <c r="B64" s="92" t="s">
        <v>743</v>
      </c>
      <c r="C64" s="92" t="s">
        <v>696</v>
      </c>
      <c r="D64" s="93" t="s">
        <v>789</v>
      </c>
      <c r="E64" s="94">
        <v>45610</v>
      </c>
      <c r="F64" s="92" t="s">
        <v>717</v>
      </c>
    </row>
    <row r="65" spans="1:6" ht="16" x14ac:dyDescent="0.2">
      <c r="A65" s="92" t="s">
        <v>336</v>
      </c>
      <c r="B65" s="92" t="s">
        <v>358</v>
      </c>
      <c r="C65" s="92" t="s">
        <v>687</v>
      </c>
      <c r="D65" s="93" t="s">
        <v>790</v>
      </c>
      <c r="E65" s="94">
        <v>45610</v>
      </c>
      <c r="F65" s="92" t="s">
        <v>717</v>
      </c>
    </row>
    <row r="66" spans="1:6" ht="16" x14ac:dyDescent="0.2">
      <c r="A66" s="92" t="s">
        <v>336</v>
      </c>
      <c r="B66" s="92" t="s">
        <v>349</v>
      </c>
      <c r="C66" s="92" t="s">
        <v>687</v>
      </c>
      <c r="D66" s="93" t="s">
        <v>791</v>
      </c>
      <c r="E66" s="94">
        <v>45616</v>
      </c>
      <c r="F66" s="92" t="s">
        <v>717</v>
      </c>
    </row>
    <row r="67" spans="1:6" ht="16" x14ac:dyDescent="0.2">
      <c r="A67" s="92" t="s">
        <v>518</v>
      </c>
      <c r="B67" s="92" t="s">
        <v>687</v>
      </c>
      <c r="C67" s="92" t="s">
        <v>733</v>
      </c>
      <c r="D67" s="93" t="s">
        <v>792</v>
      </c>
      <c r="E67" s="94">
        <v>45623</v>
      </c>
      <c r="F67" s="92" t="s">
        <v>717</v>
      </c>
    </row>
    <row r="68" spans="1:6" ht="16" x14ac:dyDescent="0.2">
      <c r="A68" s="92" t="s">
        <v>126</v>
      </c>
      <c r="B68" s="92" t="s">
        <v>687</v>
      </c>
      <c r="C68" s="92" t="s">
        <v>729</v>
      </c>
      <c r="D68" s="93" t="s">
        <v>793</v>
      </c>
      <c r="E68" s="94">
        <v>45637</v>
      </c>
      <c r="F68" s="92" t="s">
        <v>717</v>
      </c>
    </row>
    <row r="69" spans="1:6" ht="16" x14ac:dyDescent="0.2">
      <c r="A69" s="92" t="s">
        <v>336</v>
      </c>
      <c r="B69" s="92" t="s">
        <v>743</v>
      </c>
      <c r="C69" s="92" t="s">
        <v>692</v>
      </c>
      <c r="D69" s="93" t="s">
        <v>794</v>
      </c>
      <c r="E69" s="94">
        <v>45642</v>
      </c>
      <c r="F69" s="92" t="s">
        <v>717</v>
      </c>
    </row>
    <row r="70" spans="1:6" ht="16" x14ac:dyDescent="0.2">
      <c r="A70" s="92" t="s">
        <v>511</v>
      </c>
      <c r="B70" s="92" t="s">
        <v>687</v>
      </c>
      <c r="C70" s="92" t="s">
        <v>729</v>
      </c>
      <c r="D70" s="93" t="s">
        <v>795</v>
      </c>
      <c r="E70" s="94">
        <v>45643</v>
      </c>
      <c r="F70" s="92" t="s">
        <v>717</v>
      </c>
    </row>
    <row r="71" spans="1:6" ht="16" x14ac:dyDescent="0.2">
      <c r="A71" s="92" t="s">
        <v>435</v>
      </c>
      <c r="B71" s="92" t="s">
        <v>687</v>
      </c>
      <c r="C71" s="92" t="s">
        <v>696</v>
      </c>
      <c r="D71" s="93" t="s">
        <v>796</v>
      </c>
      <c r="E71" s="94">
        <v>45656</v>
      </c>
      <c r="F71" s="92" t="s">
        <v>717</v>
      </c>
    </row>
    <row r="72" spans="1:6" ht="16" x14ac:dyDescent="0.2">
      <c r="A72" s="92" t="s">
        <v>64</v>
      </c>
      <c r="B72" s="92" t="s">
        <v>79</v>
      </c>
      <c r="C72" s="92" t="s">
        <v>687</v>
      </c>
      <c r="D72" s="93" t="s">
        <v>797</v>
      </c>
      <c r="E72" s="94">
        <v>45663</v>
      </c>
      <c r="F72" s="92" t="s">
        <v>717</v>
      </c>
    </row>
    <row r="73" spans="1:6" ht="16" x14ac:dyDescent="0.2">
      <c r="A73" s="92" t="s">
        <v>435</v>
      </c>
      <c r="B73" s="92" t="s">
        <v>687</v>
      </c>
      <c r="C73" s="92" t="s">
        <v>729</v>
      </c>
      <c r="D73" s="93" t="s">
        <v>795</v>
      </c>
      <c r="E73" s="94">
        <v>45663</v>
      </c>
      <c r="F73" s="92" t="s">
        <v>717</v>
      </c>
    </row>
    <row r="74" spans="1:6" ht="16" x14ac:dyDescent="0.2">
      <c r="A74" s="92" t="s">
        <v>291</v>
      </c>
      <c r="B74" s="92" t="s">
        <v>303</v>
      </c>
      <c r="C74" s="92" t="s">
        <v>687</v>
      </c>
      <c r="D74" s="93" t="s">
        <v>798</v>
      </c>
      <c r="E74" s="94">
        <v>45672</v>
      </c>
      <c r="F74" s="92" t="s">
        <v>717</v>
      </c>
    </row>
    <row r="75" spans="1:6" ht="16" x14ac:dyDescent="0.2">
      <c r="A75" s="92" t="s">
        <v>126</v>
      </c>
      <c r="B75" s="92" t="s">
        <v>687</v>
      </c>
      <c r="C75" s="92" t="s">
        <v>696</v>
      </c>
      <c r="D75" s="93" t="s">
        <v>799</v>
      </c>
      <c r="E75" s="94">
        <v>45701</v>
      </c>
      <c r="F75" s="92" t="s">
        <v>717</v>
      </c>
    </row>
    <row r="76" spans="1:6" ht="16" x14ac:dyDescent="0.2">
      <c r="A76" s="116" t="s">
        <v>435</v>
      </c>
      <c r="B76" s="117" t="s">
        <v>435</v>
      </c>
      <c r="C76" s="117" t="s">
        <v>729</v>
      </c>
      <c r="D76" s="118" t="s">
        <v>800</v>
      </c>
      <c r="E76" s="94">
        <v>45708</v>
      </c>
      <c r="F76" s="119" t="s">
        <v>717</v>
      </c>
    </row>
    <row r="77" spans="1:6" x14ac:dyDescent="0.2">
      <c r="A77" s="92" t="s">
        <v>801</v>
      </c>
      <c r="B77" s="92" t="s">
        <v>802</v>
      </c>
      <c r="C77" s="92" t="s">
        <v>687</v>
      </c>
      <c r="D77" s="121" t="s">
        <v>803</v>
      </c>
      <c r="E77" s="94">
        <v>45714</v>
      </c>
      <c r="F77" s="92" t="s">
        <v>717</v>
      </c>
    </row>
    <row r="78" spans="1:6" ht="16" x14ac:dyDescent="0.2">
      <c r="A78" s="92" t="s">
        <v>10</v>
      </c>
      <c r="B78" s="92" t="s">
        <v>687</v>
      </c>
      <c r="C78" s="92" t="s">
        <v>696</v>
      </c>
      <c r="D78" s="93" t="s">
        <v>767</v>
      </c>
      <c r="E78" s="94">
        <v>45715</v>
      </c>
      <c r="F78" s="92" t="s">
        <v>717</v>
      </c>
    </row>
    <row r="79" spans="1:6" ht="16" x14ac:dyDescent="0.2">
      <c r="A79" s="92" t="s">
        <v>801</v>
      </c>
      <c r="B79" s="92" t="s">
        <v>804</v>
      </c>
      <c r="C79" s="92" t="s">
        <v>687</v>
      </c>
      <c r="D79" s="93" t="s">
        <v>805</v>
      </c>
      <c r="E79" s="94">
        <v>45719</v>
      </c>
      <c r="F79" s="92" t="s">
        <v>717</v>
      </c>
    </row>
    <row r="80" spans="1:6" ht="16" x14ac:dyDescent="0.2">
      <c r="A80" s="92" t="s">
        <v>246</v>
      </c>
      <c r="B80" s="92" t="s">
        <v>806</v>
      </c>
      <c r="C80" s="92" t="s">
        <v>687</v>
      </c>
      <c r="D80" s="93" t="s">
        <v>807</v>
      </c>
      <c r="E80" s="94">
        <v>45728</v>
      </c>
      <c r="F80" s="92" t="s">
        <v>717</v>
      </c>
    </row>
    <row r="81" spans="1:6" ht="16" x14ac:dyDescent="0.2">
      <c r="A81" s="123" t="s">
        <v>10</v>
      </c>
      <c r="B81" s="124" t="s">
        <v>33</v>
      </c>
      <c r="C81" s="124" t="s">
        <v>687</v>
      </c>
      <c r="D81" s="124" t="s">
        <v>808</v>
      </c>
      <c r="E81" s="125">
        <v>13032025</v>
      </c>
      <c r="F81" s="126" t="s">
        <v>717</v>
      </c>
    </row>
    <row r="82" spans="1:6" ht="16" x14ac:dyDescent="0.2">
      <c r="A82" s="116" t="s">
        <v>702</v>
      </c>
      <c r="B82" s="117" t="s">
        <v>212</v>
      </c>
      <c r="C82" s="117" t="s">
        <v>687</v>
      </c>
      <c r="D82" s="117" t="s">
        <v>809</v>
      </c>
      <c r="E82" s="127">
        <v>13032025</v>
      </c>
      <c r="F82" s="119" t="s">
        <v>717</v>
      </c>
    </row>
    <row r="83" spans="1:6" ht="16" x14ac:dyDescent="0.2">
      <c r="A83" s="92" t="s">
        <v>246</v>
      </c>
      <c r="B83" s="92" t="s">
        <v>810</v>
      </c>
      <c r="C83" s="92" t="s">
        <v>687</v>
      </c>
      <c r="D83" s="93" t="s">
        <v>811</v>
      </c>
      <c r="E83" s="94">
        <v>45741</v>
      </c>
      <c r="F83" s="92" t="s">
        <v>717</v>
      </c>
    </row>
    <row r="84" spans="1:6" ht="32" x14ac:dyDescent="0.2">
      <c r="A84" s="128" t="s">
        <v>769</v>
      </c>
      <c r="B84" s="129" t="s">
        <v>812</v>
      </c>
      <c r="C84" s="128" t="s">
        <v>696</v>
      </c>
      <c r="D84" s="130" t="s">
        <v>767</v>
      </c>
      <c r="E84" s="131">
        <v>45741</v>
      </c>
      <c r="F84" s="128" t="s">
        <v>717</v>
      </c>
    </row>
    <row r="85" spans="1:6" ht="16" x14ac:dyDescent="0.2">
      <c r="A85" s="92" t="s">
        <v>443</v>
      </c>
      <c r="B85" s="92" t="s">
        <v>687</v>
      </c>
      <c r="C85" s="92" t="s">
        <v>696</v>
      </c>
      <c r="D85" s="93" t="s">
        <v>813</v>
      </c>
      <c r="E85" s="94">
        <v>45741</v>
      </c>
      <c r="F85" s="92" t="s">
        <v>717</v>
      </c>
    </row>
    <row r="86" spans="1:6" ht="16" x14ac:dyDescent="0.2">
      <c r="A86" s="92" t="s">
        <v>456</v>
      </c>
      <c r="B86" s="142" t="s">
        <v>814</v>
      </c>
      <c r="C86" s="92" t="s">
        <v>687</v>
      </c>
      <c r="D86" s="93" t="s">
        <v>815</v>
      </c>
      <c r="E86" s="94">
        <v>45763</v>
      </c>
      <c r="F86" s="92" t="s">
        <v>717</v>
      </c>
    </row>
    <row r="87" spans="1:6" ht="16" x14ac:dyDescent="0.2">
      <c r="A87" s="92" t="s">
        <v>246</v>
      </c>
      <c r="B87" s="92" t="s">
        <v>816</v>
      </c>
      <c r="C87" s="92" t="s">
        <v>696</v>
      </c>
      <c r="D87" s="93" t="s">
        <v>789</v>
      </c>
      <c r="E87" s="94">
        <v>45769</v>
      </c>
      <c r="F87" s="92" t="s">
        <v>717</v>
      </c>
    </row>
    <row r="88" spans="1:6" ht="16" x14ac:dyDescent="0.2">
      <c r="A88" s="92" t="s">
        <v>64</v>
      </c>
      <c r="B88" s="92" t="s">
        <v>82</v>
      </c>
      <c r="C88" s="92" t="s">
        <v>687</v>
      </c>
      <c r="D88" s="93" t="s">
        <v>817</v>
      </c>
      <c r="E88" s="94">
        <v>45783</v>
      </c>
      <c r="F88" s="92" t="s">
        <v>717</v>
      </c>
    </row>
    <row r="89" spans="1:6" ht="16" x14ac:dyDescent="0.2">
      <c r="A89" s="92" t="s">
        <v>64</v>
      </c>
      <c r="B89" s="92" t="s">
        <v>79</v>
      </c>
      <c r="C89" s="92" t="s">
        <v>687</v>
      </c>
      <c r="D89" s="93" t="s">
        <v>797</v>
      </c>
      <c r="E89" s="94">
        <v>45783</v>
      </c>
      <c r="F89" s="92" t="s">
        <v>717</v>
      </c>
    </row>
    <row r="90" spans="1:6" ht="16" x14ac:dyDescent="0.2">
      <c r="A90" s="92" t="s">
        <v>712</v>
      </c>
      <c r="B90" s="92" t="s">
        <v>238</v>
      </c>
      <c r="C90" s="92" t="s">
        <v>733</v>
      </c>
      <c r="D90" s="93" t="s">
        <v>818</v>
      </c>
      <c r="E90" s="94">
        <v>45783</v>
      </c>
      <c r="F90" s="92" t="s">
        <v>717</v>
      </c>
    </row>
    <row r="91" spans="1:6" ht="16" x14ac:dyDescent="0.2">
      <c r="A91" s="92" t="s">
        <v>246</v>
      </c>
      <c r="B91" s="92" t="s">
        <v>271</v>
      </c>
      <c r="C91" s="92" t="s">
        <v>733</v>
      </c>
      <c r="D91" s="147" t="s">
        <v>819</v>
      </c>
      <c r="E91" s="94">
        <v>45799</v>
      </c>
      <c r="F91" s="92" t="s">
        <v>717</v>
      </c>
    </row>
    <row r="92" spans="1:6" ht="16" x14ac:dyDescent="0.2">
      <c r="A92" s="92" t="s">
        <v>126</v>
      </c>
      <c r="B92" s="92" t="s">
        <v>687</v>
      </c>
      <c r="C92" s="92" t="s">
        <v>766</v>
      </c>
      <c r="D92" s="93" t="s">
        <v>820</v>
      </c>
      <c r="E92" s="94">
        <v>45810</v>
      </c>
      <c r="F92" s="92" t="s">
        <v>717</v>
      </c>
    </row>
    <row r="93" spans="1:6" ht="32" x14ac:dyDescent="0.2">
      <c r="A93" s="128" t="s">
        <v>769</v>
      </c>
      <c r="B93" s="129" t="s">
        <v>812</v>
      </c>
      <c r="C93" s="128" t="s">
        <v>821</v>
      </c>
      <c r="D93" s="130" t="s">
        <v>822</v>
      </c>
      <c r="E93" s="149">
        <v>45826</v>
      </c>
      <c r="F93" s="150" t="s">
        <v>717</v>
      </c>
    </row>
    <row r="94" spans="1:6" ht="16" x14ac:dyDescent="0.2">
      <c r="A94" s="92" t="s">
        <v>150</v>
      </c>
      <c r="B94" s="92" t="s">
        <v>196</v>
      </c>
      <c r="C94" s="92" t="s">
        <v>687</v>
      </c>
      <c r="D94" s="93" t="s">
        <v>823</v>
      </c>
      <c r="E94" s="94">
        <v>45834</v>
      </c>
      <c r="F94" s="92" t="s">
        <v>717</v>
      </c>
    </row>
    <row r="95" spans="1:6" ht="16" x14ac:dyDescent="0.2">
      <c r="A95" s="92" t="s">
        <v>456</v>
      </c>
      <c r="B95" s="92" t="s">
        <v>824</v>
      </c>
      <c r="C95" s="92" t="s">
        <v>687</v>
      </c>
      <c r="D95" s="93" t="s">
        <v>825</v>
      </c>
      <c r="E95" s="94">
        <v>45834</v>
      </c>
      <c r="F95" s="92" t="s">
        <v>717</v>
      </c>
    </row>
    <row r="96" spans="1:6" ht="16" x14ac:dyDescent="0.2">
      <c r="A96" s="92" t="s">
        <v>51</v>
      </c>
      <c r="B96" s="92" t="s">
        <v>687</v>
      </c>
      <c r="C96" s="92" t="s">
        <v>699</v>
      </c>
      <c r="D96" s="93" t="s">
        <v>826</v>
      </c>
      <c r="E96" s="94">
        <v>45846</v>
      </c>
      <c r="F96" s="92" t="s">
        <v>717</v>
      </c>
    </row>
    <row r="97" spans="1:6" ht="16" x14ac:dyDescent="0.2">
      <c r="A97" s="92" t="s">
        <v>676</v>
      </c>
      <c r="B97" s="92" t="s">
        <v>687</v>
      </c>
      <c r="C97" s="92" t="s">
        <v>729</v>
      </c>
      <c r="D97" s="93" t="s">
        <v>827</v>
      </c>
      <c r="E97" s="94">
        <v>45846</v>
      </c>
      <c r="F97" s="92" t="s">
        <v>717</v>
      </c>
    </row>
    <row r="98" spans="1:6" ht="16" x14ac:dyDescent="0.2">
      <c r="A98" s="92" t="s">
        <v>676</v>
      </c>
      <c r="B98" s="92" t="s">
        <v>687</v>
      </c>
      <c r="C98" s="92" t="s">
        <v>696</v>
      </c>
      <c r="D98" s="93" t="s">
        <v>828</v>
      </c>
      <c r="E98" s="94">
        <v>45894</v>
      </c>
      <c r="F98" s="92" t="s">
        <v>717</v>
      </c>
    </row>
    <row r="99" spans="1:6" ht="16" x14ac:dyDescent="0.2">
      <c r="A99" s="116" t="s">
        <v>829</v>
      </c>
      <c r="B99" s="117" t="s">
        <v>829</v>
      </c>
      <c r="C99" s="117" t="s">
        <v>830</v>
      </c>
      <c r="D99" s="117" t="s">
        <v>831</v>
      </c>
      <c r="E99" s="159">
        <v>45910</v>
      </c>
      <c r="F99" s="119" t="s">
        <v>717</v>
      </c>
    </row>
    <row r="100" spans="1:6" ht="16" x14ac:dyDescent="0.2">
      <c r="A100" s="123" t="s">
        <v>150</v>
      </c>
      <c r="B100" s="124" t="s">
        <v>832</v>
      </c>
      <c r="C100" s="124" t="s">
        <v>830</v>
      </c>
      <c r="D100" s="124" t="s">
        <v>833</v>
      </c>
      <c r="E100" s="159">
        <v>45910</v>
      </c>
      <c r="F100" s="126" t="s">
        <v>717</v>
      </c>
    </row>
    <row r="101" spans="1:6" ht="16" x14ac:dyDescent="0.2">
      <c r="A101" s="116" t="s">
        <v>336</v>
      </c>
      <c r="B101" s="117" t="s">
        <v>834</v>
      </c>
      <c r="C101" s="117" t="s">
        <v>830</v>
      </c>
      <c r="D101" s="117" t="s">
        <v>835</v>
      </c>
      <c r="E101" s="159">
        <v>45910</v>
      </c>
      <c r="F101" s="119" t="s">
        <v>717</v>
      </c>
    </row>
    <row r="102" spans="1:6" ht="16" x14ac:dyDescent="0.2">
      <c r="A102" s="123" t="s">
        <v>801</v>
      </c>
      <c r="B102" s="124" t="s">
        <v>836</v>
      </c>
      <c r="C102" s="124" t="s">
        <v>687</v>
      </c>
      <c r="D102" s="124" t="s">
        <v>837</v>
      </c>
      <c r="E102" s="159">
        <v>45910</v>
      </c>
      <c r="F102" s="126" t="s">
        <v>717</v>
      </c>
    </row>
    <row r="103" spans="1:6" ht="16" x14ac:dyDescent="0.2">
      <c r="A103" s="116" t="s">
        <v>443</v>
      </c>
      <c r="B103" s="117" t="s">
        <v>838</v>
      </c>
      <c r="C103" s="117" t="s">
        <v>687</v>
      </c>
      <c r="D103" s="117" t="s">
        <v>839</v>
      </c>
      <c r="E103" s="159">
        <v>45910</v>
      </c>
      <c r="F103" s="119" t="s">
        <v>717</v>
      </c>
    </row>
    <row r="104" spans="1:6" ht="16" x14ac:dyDescent="0.2">
      <c r="A104" s="123" t="s">
        <v>712</v>
      </c>
      <c r="B104" s="124" t="s">
        <v>712</v>
      </c>
      <c r="C104" s="124" t="s">
        <v>687</v>
      </c>
      <c r="D104" s="124" t="s">
        <v>840</v>
      </c>
      <c r="E104" s="159">
        <v>45910</v>
      </c>
      <c r="F104" s="126" t="s">
        <v>717</v>
      </c>
    </row>
    <row r="105" spans="1:6" ht="16" x14ac:dyDescent="0.2">
      <c r="A105" s="92" t="s">
        <v>150</v>
      </c>
      <c r="B105" s="117" t="s">
        <v>841</v>
      </c>
      <c r="C105" s="92" t="s">
        <v>733</v>
      </c>
      <c r="D105" s="117" t="s">
        <v>842</v>
      </c>
      <c r="E105" s="159">
        <v>45925</v>
      </c>
      <c r="F105" s="119" t="s">
        <v>717</v>
      </c>
    </row>
    <row r="106" spans="1:6" ht="16" x14ac:dyDescent="0.2">
      <c r="A106" s="92" t="s">
        <v>559</v>
      </c>
      <c r="B106" s="92" t="s">
        <v>723</v>
      </c>
      <c r="C106" s="92" t="s">
        <v>687</v>
      </c>
      <c r="D106" s="117" t="s">
        <v>843</v>
      </c>
      <c r="E106" s="159">
        <v>45929</v>
      </c>
      <c r="F106" s="119" t="s">
        <v>717</v>
      </c>
    </row>
    <row r="107" spans="1:6" ht="16" x14ac:dyDescent="0.2">
      <c r="A107" s="92" t="s">
        <v>142</v>
      </c>
      <c r="B107" s="92" t="s">
        <v>687</v>
      </c>
      <c r="C107" s="92" t="s">
        <v>696</v>
      </c>
      <c r="D107" s="93" t="s">
        <v>844</v>
      </c>
      <c r="E107" s="94">
        <v>45945</v>
      </c>
      <c r="F107" s="92" t="s">
        <v>717</v>
      </c>
    </row>
    <row r="108" spans="1:6" x14ac:dyDescent="0.2">
      <c r="A108" s="92"/>
      <c r="B108" s="92"/>
      <c r="C108" s="92"/>
      <c r="D108" s="93"/>
      <c r="E108" s="160"/>
      <c r="F108" s="92"/>
    </row>
    <row r="109" spans="1:6" x14ac:dyDescent="0.2">
      <c r="A109" s="92"/>
      <c r="B109" s="92"/>
      <c r="C109" s="92"/>
      <c r="D109" s="93"/>
      <c r="E109" s="160"/>
      <c r="F109" s="92"/>
    </row>
    <row r="110" spans="1:6" x14ac:dyDescent="0.2">
      <c r="A110" s="92"/>
      <c r="B110" s="92"/>
      <c r="C110" s="92"/>
      <c r="D110" s="93"/>
      <c r="E110" s="160"/>
      <c r="F110" s="92"/>
    </row>
    <row r="111" spans="1:6" x14ac:dyDescent="0.2">
      <c r="A111" s="92"/>
      <c r="B111" s="92"/>
      <c r="C111" s="92"/>
      <c r="D111" s="93"/>
      <c r="E111" s="160"/>
      <c r="F111" s="92"/>
    </row>
  </sheetData>
  <phoneticPr fontId="2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AB451CFF80BE4B9F032BAD832177E3" ma:contentTypeVersion="13" ma:contentTypeDescription="Create a new document." ma:contentTypeScope="" ma:versionID="84eb2fecfb5226c1fd1c24599f1231a2">
  <xsd:schema xmlns:xsd="http://www.w3.org/2001/XMLSchema" xmlns:xs="http://www.w3.org/2001/XMLSchema" xmlns:p="http://schemas.microsoft.com/office/2006/metadata/properties" xmlns:ns2="2f33f7ea-2da1-4504-9bc7-c4050ffcb41b" xmlns:ns3="3ada3ebb-6250-4fa4-b342-ad957a1edb9f" targetNamespace="http://schemas.microsoft.com/office/2006/metadata/properties" ma:root="true" ma:fieldsID="5454991d447a186743050f8250298bb2" ns2:_="" ns3:_="">
    <xsd:import namespace="2f33f7ea-2da1-4504-9bc7-c4050ffcb41b"/>
    <xsd:import namespace="3ada3ebb-6250-4fa4-b342-ad957a1edb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33f7ea-2da1-4504-9bc7-c4050ffcb4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1ee6fe1-2a84-43d9-988b-1a4212e439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da3ebb-6250-4fa4-b342-ad957a1edb9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1ec1b70-9d8a-47b5-8633-2cd7a767ac03}" ma:internalName="TaxCatchAll" ma:showField="CatchAllData" ma:web="3ada3ebb-6250-4fa4-b342-ad957a1edb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3ada3ebb-6250-4fa4-b342-ad957a1edb9f">
      <UserInfo>
        <DisplayName/>
        <AccountId xsi:nil="true"/>
        <AccountType/>
      </UserInfo>
    </SharedWithUsers>
    <TaxCatchAll xmlns="3ada3ebb-6250-4fa4-b342-ad957a1edb9f" xsi:nil="true"/>
    <lcf76f155ced4ddcb4097134ff3c332f xmlns="2f33f7ea-2da1-4504-9bc7-c4050ffcb41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F9FF72E-D71B-4FCC-B7DA-478032A991C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4D399F1-02D5-4237-97FB-D45914EC7E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33f7ea-2da1-4504-9bc7-c4050ffcb41b"/>
    <ds:schemaRef ds:uri="3ada3ebb-6250-4fa4-b342-ad957a1edb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BF70161-FED6-4288-B833-F9130768CD47}">
  <ds:schemaRefs>
    <ds:schemaRef ds:uri="http://schemas.microsoft.com/office/2006/metadata/properties"/>
    <ds:schemaRef ds:uri="http://schemas.microsoft.com/office/infopath/2007/PartnerControls"/>
    <ds:schemaRef ds:uri="3ada3ebb-6250-4fa4-b342-ad957a1edb9f"/>
    <ds:schemaRef ds:uri="2f33f7ea-2da1-4504-9bc7-c4050ffcb41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HAWB</vt:lpstr>
      <vt:lpstr>Revision History</vt:lpstr>
    </vt:vector>
  </TitlesOfParts>
  <Manager/>
  <Company>H&amp;M Hennes &amp; Mauritz AB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Peter.Dronberger-Muschick@hm.com</dc:creator>
  <cp:keywords/>
  <dc:description/>
  <cp:lastModifiedBy>shein mon</cp:lastModifiedBy>
  <cp:revision/>
  <dcterms:created xsi:type="dcterms:W3CDTF">2011-06-19T08:53:06Z</dcterms:created>
  <dcterms:modified xsi:type="dcterms:W3CDTF">2026-04-29T12:00:42Z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0x0101009CAB451CFF80BE4B9F032BAD832177E3</vt:lpwstr>
  </property>
  <property fmtid="{D5CDD505-2E9C-101B-9397-08002B2CF9AE}" pid="3" name="MSIP_Label_95195d52-774a-4071-ba32-61bcce4e05e8_Enabled">
    <vt:lpwstr>True</vt:lpwstr>
  </property>
  <property fmtid="{D5CDD505-2E9C-101B-9397-08002B2CF9AE}" pid="4" name="MSIP_Label_95195d52-774a-4071-ba32-61bcce4e05e8_SiteId">
    <vt:lpwstr>30f52344-4663-4c2e-bab3-61bf24ebbed8</vt:lpwstr>
  </property>
  <property fmtid="{D5CDD505-2E9C-101B-9397-08002B2CF9AE}" pid="5" name="MSIP_Label_95195d52-774a-4071-ba32-61bcce4e05e8_Ref">
    <vt:lpwstr>https://api.informationprotection.azure.com/api/30f52344-4663-4c2e-bab3-61bf24ebbed8</vt:lpwstr>
  </property>
  <property fmtid="{D5CDD505-2E9C-101B-9397-08002B2CF9AE}" pid="6" name="MSIP_Label_95195d52-774a-4071-ba32-61bcce4e05e8_Owner">
    <vt:lpwstr>Julia.Detjens@hm.com</vt:lpwstr>
  </property>
  <property fmtid="{D5CDD505-2E9C-101B-9397-08002B2CF9AE}" pid="7" name="MSIP_Label_95195d52-774a-4071-ba32-61bcce4e05e8_SetDate">
    <vt:lpwstr>2018-05-28T10:17:56.4431799+02:00</vt:lpwstr>
  </property>
  <property fmtid="{D5CDD505-2E9C-101B-9397-08002B2CF9AE}" pid="8" name="MSIP_Label_95195d52-774a-4071-ba32-61bcce4e05e8_Name">
    <vt:lpwstr>General</vt:lpwstr>
  </property>
  <property fmtid="{D5CDD505-2E9C-101B-9397-08002B2CF9AE}" pid="9" name="MSIP_Label_95195d52-774a-4071-ba32-61bcce4e05e8_Application">
    <vt:lpwstr>Microsoft Azure Information Protection</vt:lpwstr>
  </property>
  <property fmtid="{D5CDD505-2E9C-101B-9397-08002B2CF9AE}" pid="10" name="MSIP_Label_95195d52-774a-4071-ba32-61bcce4e05e8_Extended_MSFT_Method">
    <vt:lpwstr>Automatic</vt:lpwstr>
  </property>
  <property fmtid="{D5CDD505-2E9C-101B-9397-08002B2CF9AE}" pid="11" name="Sensitivity">
    <vt:lpwstr>General</vt:lpwstr>
  </property>
  <property fmtid="{D5CDD505-2E9C-101B-9397-08002B2CF9AE}" pid="12" name="AuthorIds_UIVersion_12288">
    <vt:lpwstr>20</vt:lpwstr>
  </property>
  <property fmtid="{D5CDD505-2E9C-101B-9397-08002B2CF9AE}" pid="13" name="AuthorIds_UIVersion_512">
    <vt:lpwstr>11</vt:lpwstr>
  </property>
  <property fmtid="{D5CDD505-2E9C-101B-9397-08002B2CF9AE}" pid="14" name="AuthorIds_UIVersion_1024">
    <vt:lpwstr>20</vt:lpwstr>
  </property>
  <property fmtid="{D5CDD505-2E9C-101B-9397-08002B2CF9AE}" pid="15" name="Order">
    <vt:r8>312400</vt:r8>
  </property>
  <property fmtid="{D5CDD505-2E9C-101B-9397-08002B2CF9AE}" pid="16" name="xd_Signature">
    <vt:bool>false</vt:bool>
  </property>
  <property fmtid="{D5CDD505-2E9C-101B-9397-08002B2CF9AE}" pid="17" name="xd_ProgID">
    <vt:lpwstr/>
  </property>
  <property fmtid="{D5CDD505-2E9C-101B-9397-08002B2CF9AE}" pid="18" name="ComplianceAssetId">
    <vt:lpwstr/>
  </property>
  <property fmtid="{D5CDD505-2E9C-101B-9397-08002B2CF9AE}" pid="19" name="TemplateUrl">
    <vt:lpwstr/>
  </property>
  <property fmtid="{D5CDD505-2E9C-101B-9397-08002B2CF9AE}" pid="20" name="_ExtendedDescription">
    <vt:lpwstr/>
  </property>
  <property fmtid="{D5CDD505-2E9C-101B-9397-08002B2CF9AE}" pid="21" name="TriggerFlowInfo">
    <vt:lpwstr/>
  </property>
  <property fmtid="{D5CDD505-2E9C-101B-9397-08002B2CF9AE}" pid="22" name="_SourceUrl">
    <vt:lpwstr/>
  </property>
  <property fmtid="{D5CDD505-2E9C-101B-9397-08002B2CF9AE}" pid="23" name="_SharedFileIndex">
    <vt:lpwstr/>
  </property>
  <property fmtid="{D5CDD505-2E9C-101B-9397-08002B2CF9AE}" pid="24" name="MediaServiceImageTags">
    <vt:lpwstr/>
  </property>
</Properties>
</file>